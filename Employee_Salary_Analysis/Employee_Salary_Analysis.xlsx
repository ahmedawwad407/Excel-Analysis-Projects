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Ahmed\DataAnalyises\Excel\Projects\Employee Salary Analysis\Employee_Salary_Analysis\"/>
    </mc:Choice>
  </mc:AlternateContent>
  <bookViews>
    <workbookView xWindow="0" yWindow="0" windowWidth="23040" windowHeight="9192" tabRatio="821"/>
  </bookViews>
  <sheets>
    <sheet name="Dashbord2" sheetId="10" r:id="rId1"/>
    <sheet name="Dashboard" sheetId="2" r:id="rId2"/>
    <sheet name="CleanData" sheetId="1" r:id="rId3"/>
    <sheet name="Average Salary by Department" sheetId="3" r:id="rId4"/>
    <sheet name="Average Salary Top10 Employees" sheetId="4" r:id="rId5"/>
    <sheet name="Average Salary by Experience" sheetId="5" r:id="rId6"/>
    <sheet name="Average Salary by Education" sheetId="6" r:id="rId7"/>
    <sheet name="Average Salary by Job" sheetId="7" r:id="rId8"/>
    <sheet name="Gender by Department" sheetId="8" r:id="rId9"/>
  </sheets>
  <definedNames>
    <definedName name="Slicer_Department">#N/A</definedName>
    <definedName name="Slicer_Experience_Years">#N/A</definedName>
    <definedName name="Slicer_Gender">#N/A</definedName>
    <definedName name="Slicer_Performance_Rating">#N/A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N6" i="10" l="1"/>
  <c r="I5" i="2"/>
  <c r="F6" i="10"/>
  <c r="G5" i="2"/>
  <c r="J6" i="10"/>
  <c r="E5" i="2"/>
  <c r="B6" i="10"/>
  <c r="C5" i="2"/>
</calcChain>
</file>

<file path=xl/sharedStrings.xml><?xml version="1.0" encoding="utf-8"?>
<sst xmlns="http://schemas.openxmlformats.org/spreadsheetml/2006/main" count="3101" uniqueCount="677">
  <si>
    <t>Employee_ID</t>
  </si>
  <si>
    <t>Department</t>
  </si>
  <si>
    <t>Job_Role</t>
  </si>
  <si>
    <t>Gender</t>
  </si>
  <si>
    <t>Age</t>
  </si>
  <si>
    <t>Education</t>
  </si>
  <si>
    <t>Years_At_Company</t>
  </si>
  <si>
    <t>Experience_Years</t>
  </si>
  <si>
    <t>Monthly_Salary</t>
  </si>
  <si>
    <t>Performance_Rating</t>
  </si>
  <si>
    <t>Job_Satisfaction</t>
  </si>
  <si>
    <t>Overtime_Hours</t>
  </si>
  <si>
    <t>E0001</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</si>
  <si>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</si>
  <si>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</si>
  <si>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</si>
  <si>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</si>
  <si>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</si>
  <si>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</si>
  <si>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</si>
  <si>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</si>
  <si>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</si>
  <si>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</si>
  <si>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</si>
  <si>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</si>
  <si>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</si>
  <si>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</si>
  <si>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</si>
  <si>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</si>
  <si>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</si>
  <si>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</si>
  <si>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</si>
  <si>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</si>
  <si>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</si>
  <si>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</si>
  <si>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</si>
  <si>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</si>
  <si>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</si>
  <si>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</si>
  <si>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</si>
  <si>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</si>
  <si>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</si>
  <si>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</si>
  <si>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</si>
  <si>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</si>
  <si>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</si>
  <si>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</si>
  <si>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</si>
  <si>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</si>
  <si>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</si>
  <si>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</si>
  <si>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</si>
  <si>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</si>
  <si>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</si>
  <si>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</si>
  <si>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</si>
  <si>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</si>
  <si>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</si>
  <si>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</si>
  <si>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</si>
  <si>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</si>
  <si>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</si>
  <si>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</si>
  <si>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</si>
  <si>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</si>
  <si>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</si>
  <si>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</si>
  <si>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</si>
  <si>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</si>
  <si>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</si>
  <si>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</si>
  <si>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</si>
  <si>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</si>
  <si>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</si>
  <si>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</si>
  <si>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</si>
  <si>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</si>
  <si>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</si>
  <si>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</si>
  <si>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</si>
  <si>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</si>
  <si>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</si>
  <si>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</si>
  <si>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</si>
  <si>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</si>
  <si>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</si>
  <si>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</si>
  <si>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</si>
  <si>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</si>
  <si>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</si>
  <si>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</si>
  <si>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</si>
  <si>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</si>
  <si>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</si>
  <si>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</si>
  <si>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</si>
  <si>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</si>
  <si>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</si>
  <si>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</si>
  <si>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</si>
  <si>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</si>
  <si>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</si>
  <si>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</si>
  <si>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</si>
  <si>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</si>
  <si>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</si>
  <si>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</si>
  <si>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</si>
  <si>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</si>
  <si>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</si>
  <si>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</si>
  <si>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</si>
  <si>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</si>
  <si>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</si>
  <si>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</si>
  <si>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</si>
  <si>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</si>
  <si>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</si>
  <si>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</si>
  <si>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</si>
  <si>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</si>
  <si>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</si>
  <si>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</si>
  <si>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</si>
  <si>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</si>
  <si>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</si>
  <si>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</si>
  <si>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</si>
  <si>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</si>
  <si>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</si>
  <si>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</si>
  <si>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</si>
  <si>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</si>
  <si>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</si>
  <si>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</si>
  <si>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</si>
  <si>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</si>
  <si>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</si>
  <si>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</si>
  <si>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</si>
  <si>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</si>
  <si>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</si>
  <si>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</si>
  <si>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</si>
  <si>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</si>
  <si>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</si>
  <si>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</si>
  <si>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</si>
  <si>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</si>
  <si>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</si>
  <si>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</si>
  <si>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</si>
  <si>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</si>
  <si>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</si>
  <si>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</si>
  <si>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</si>
  <si>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</si>
  <si>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</si>
  <si>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</si>
  <si>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</si>
  <si>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</si>
  <si>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</si>
  <si>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</si>
  <si>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</si>
  <si>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</si>
  <si>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</si>
  <si>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</si>
  <si>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</si>
  <si>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</si>
  <si>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</si>
  <si>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</si>
  <si>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</si>
  <si>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</si>
  <si>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</si>
  <si>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</si>
  <si>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</si>
  <si>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</si>
  <si>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</si>
  <si>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</si>
  <si>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</si>
  <si>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</si>
  <si>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</si>
  <si>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</si>
  <si>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</si>
  <si>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</si>
  <si>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</si>
  <si>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</si>
  <si>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</si>
  <si>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</si>
  <si>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</si>
  <si>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</si>
  <si>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</si>
  <si>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</si>
  <si>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</si>
  <si>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</si>
  <si>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</si>
  <si>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</si>
  <si>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</si>
  <si>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</si>
  <si>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</si>
  <si>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</si>
  <si>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</si>
  <si>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</si>
  <si>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</si>
  <si>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</si>
  <si>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</si>
  <si>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</si>
  <si>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</si>
  <si>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</si>
  <si>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</si>
  <si>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</si>
  <si>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</si>
  <si>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</si>
  <si>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</si>
  <si>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</si>
  <si>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</si>
  <si>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</si>
  <si>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</si>
  <si>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</si>
  <si>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</si>
  <si>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</si>
  <si>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</si>
  <si>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</si>
  <si>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</si>
  <si>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</si>
  <si>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</si>
  <si>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</si>
  <si>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</si>
  <si>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</si>
  <si>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</si>
  <si>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</si>
  <si>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</si>
  <si>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</si>
  <si>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</si>
  <si>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</si>
  <si>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</si>
  <si>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</si>
  <si>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</si>
  <si>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</si>
  <si>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</si>
  <si>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</si>
  <si>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</si>
  <si>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</si>
  <si>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</si>
  <si>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</si>
  <si>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</si>
  <si>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</si>
  <si>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</si>
  <si>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</si>
  <si>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</si>
  <si>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</si>
  <si>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</si>
  <si>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</si>
  <si>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</si>
  <si>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</si>
  <si>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</si>
  <si>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</si>
  <si>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</si>
  <si>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</si>
  <si>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</si>
  <si>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</si>
  <si>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</si>
  <si>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E0251</t>
  </si>
  <si>
    <t>E0252</t>
  </si>
  <si>
    <t>E0253</t>
  </si>
  <si>
    <t>E0254</t>
  </si>
  <si>
    <t>E0255</t>
  </si>
  <si>
    <t>E0256</t>
  </si>
  <si>
    <t>E0257</t>
  </si>
  <si>
    <t>E0258</t>
  </si>
  <si>
    <t>E0259</t>
  </si>
  <si>
    <t>E0260</t>
  </si>
  <si>
    <t>E0261</t>
  </si>
  <si>
    <t>E0262</t>
  </si>
  <si>
    <t>E0263</t>
  </si>
  <si>
    <t>E0264</t>
  </si>
  <si>
    <t>E0265</t>
  </si>
  <si>
    <t>E0266</t>
  </si>
  <si>
    <t>E0267</t>
  </si>
  <si>
    <t>E0268</t>
  </si>
  <si>
    <t>E0269</t>
  </si>
  <si>
    <t>E0270</t>
  </si>
  <si>
    <t>E0271</t>
  </si>
  <si>
    <t>E0272</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</si>
  <si>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</si>
  <si>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</si>
  <si>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</si>
  <si>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</si>
  <si>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</si>
  <si>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</si>
  <si>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</si>
  <si>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</si>
  <si>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</si>
  <si>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</si>
  <si>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</si>
  <si>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</si>
  <si>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</si>
  <si>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</si>
  <si>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</si>
  <si>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</si>
  <si>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</si>
  <si>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</si>
  <si>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</si>
  <si>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</si>
  <si>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</si>
  <si>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</si>
  <si>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</si>
  <si>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</si>
  <si>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</si>
  <si>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E0298</t>
  </si>
  <si>
    <t>E0299</t>
  </si>
  <si>
    <t>E0300</t>
  </si>
  <si>
    <t>E0301</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</si>
  <si>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</si>
  <si>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</si>
  <si>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</si>
  <si>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</si>
  <si>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</si>
  <si>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</si>
  <si>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</si>
  <si>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</si>
  <si>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</si>
  <si>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</si>
  <si>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</si>
  <si>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</si>
  <si>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</si>
  <si>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</si>
  <si>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</si>
  <si>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</si>
  <si>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</si>
  <si>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</si>
  <si>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</si>
  <si>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</si>
  <si>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</si>
  <si>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</si>
  <si>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</si>
  <si>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</si>
  <si>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</si>
  <si>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</si>
  <si>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</si>
  <si>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</si>
  <si>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</si>
  <si>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</si>
  <si>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</si>
  <si>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</si>
  <si>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</si>
  <si>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</si>
  <si>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</si>
  <si>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</si>
  <si>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</si>
  <si>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</si>
  <si>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</si>
  <si>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</si>
  <si>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</si>
  <si>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</si>
  <si>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</si>
  <si>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</si>
  <si>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</si>
  <si>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</si>
  <si>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</si>
  <si>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</si>
  <si>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</si>
  <si>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</si>
  <si>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</si>
  <si>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</si>
  <si>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</si>
  <si>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</si>
  <si>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</si>
  <si>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</si>
  <si>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</si>
  <si>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</si>
  <si>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</si>
  <si>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</si>
  <si>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</si>
  <si>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</si>
  <si>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</si>
  <si>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</si>
  <si>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</si>
  <si>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</si>
  <si>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</si>
  <si>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</si>
  <si>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</si>
  <si>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</si>
  <si>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</si>
  <si>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</si>
  <si>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</si>
  <si>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</si>
  <si>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</si>
  <si>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</si>
  <si>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</si>
  <si>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</si>
  <si>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</si>
  <si>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</si>
  <si>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</si>
  <si>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</si>
  <si>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</si>
  <si>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</si>
  <si>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</si>
  <si>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</si>
  <si>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</si>
  <si>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</si>
  <si>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</si>
  <si>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</si>
  <si>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</si>
  <si>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</si>
  <si>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</si>
  <si>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</si>
  <si>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</si>
  <si>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</si>
  <si>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</si>
  <si>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</si>
  <si>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</si>
  <si>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</si>
  <si>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</si>
  <si>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</si>
  <si>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</si>
  <si>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</si>
  <si>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</si>
  <si>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</si>
  <si>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</si>
  <si>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</si>
  <si>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</si>
  <si>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</si>
  <si>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</si>
  <si>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</si>
  <si>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</si>
  <si>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</si>
  <si>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</si>
  <si>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</si>
  <si>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</si>
  <si>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</si>
  <si>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</si>
  <si>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</si>
  <si>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</si>
  <si>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</si>
  <si>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</si>
  <si>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</si>
  <si>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</si>
  <si>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</si>
  <si>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</si>
  <si>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</si>
  <si>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</si>
  <si>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</si>
  <si>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</si>
  <si>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</si>
  <si>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</si>
  <si>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</si>
  <si>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</si>
  <si>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</si>
  <si>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</si>
  <si>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</si>
  <si>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</si>
  <si>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</si>
  <si>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</si>
  <si>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</si>
  <si>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</si>
  <si>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</si>
  <si>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</si>
  <si>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</si>
  <si>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</si>
  <si>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</si>
  <si>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</si>
  <si>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</si>
  <si>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</si>
  <si>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</si>
  <si>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</si>
  <si>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</si>
  <si>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</si>
  <si>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</si>
  <si>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</si>
  <si>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</si>
  <si>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</si>
  <si>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</si>
  <si>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</si>
  <si>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</si>
  <si>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</si>
  <si>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</si>
  <si>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</si>
  <si>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</si>
  <si>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</si>
  <si>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</si>
  <si>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</si>
  <si>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</si>
  <si>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</si>
  <si>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</si>
  <si>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</si>
  <si>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</si>
  <si>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</si>
  <si>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</si>
  <si>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</si>
  <si>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</si>
  <si>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</si>
  <si>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</si>
  <si>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</si>
  <si>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</si>
  <si>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</si>
  <si>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</si>
  <si>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</si>
  <si>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</si>
  <si>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</si>
  <si>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</si>
  <si>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</si>
  <si>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</si>
  <si>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</si>
  <si>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</si>
  <si>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</si>
  <si>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</si>
  <si>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</si>
  <si>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</si>
  <si>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</si>
  <si>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</si>
  <si>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</si>
  <si>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</si>
  <si>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</si>
  <si>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</si>
  <si>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</si>
  <si>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</si>
  <si>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</si>
  <si>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</si>
  <si>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</si>
  <si>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</si>
  <si>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</si>
  <si>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</si>
  <si>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</si>
  <si>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</si>
  <si>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</si>
  <si>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</si>
  <si>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</si>
  <si>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</si>
  <si>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</si>
  <si>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</si>
  <si>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</si>
  <si>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</si>
  <si>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</si>
  <si>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</si>
  <si>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</si>
  <si>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</si>
  <si>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</si>
  <si>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</si>
  <si>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</si>
  <si>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</si>
  <si>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</si>
  <si>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</si>
  <si>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</si>
  <si>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</si>
  <si>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</si>
  <si>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</si>
  <si>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</si>
  <si>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</si>
  <si>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</si>
  <si>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</si>
  <si>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</si>
  <si>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</si>
  <si>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</si>
  <si>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</si>
  <si>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</si>
  <si>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</si>
  <si>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</si>
  <si>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</si>
  <si>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</si>
  <si>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</si>
  <si>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</si>
  <si>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</si>
  <si>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</si>
  <si>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</si>
  <si>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</si>
  <si>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</si>
  <si>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</si>
  <si>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</si>
  <si>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</si>
  <si>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</si>
  <si>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</si>
  <si>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</si>
  <si>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</si>
  <si>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</si>
  <si>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</si>
  <si>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</si>
  <si>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</si>
  <si>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</si>
  <si>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</si>
  <si>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</si>
  <si>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</si>
  <si>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</si>
  <si>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</si>
  <si>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</si>
  <si>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</si>
  <si>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</si>
  <si>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</si>
  <si>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</si>
  <si>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</si>
  <si>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</si>
  <si>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</si>
  <si>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</si>
  <si>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</si>
  <si>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</si>
  <si>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</si>
  <si>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</si>
  <si>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</si>
  <si>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</si>
  <si>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</si>
  <si>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</si>
  <si>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</si>
  <si>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</si>
  <si>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</si>
  <si>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</si>
  <si>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</si>
  <si>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</si>
  <si>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</si>
  <si>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</si>
  <si>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</si>
  <si>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</si>
  <si>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</si>
  <si>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Marketing</t>
  </si>
  <si>
    <t>Operations</t>
  </si>
  <si>
    <t>IT</t>
  </si>
  <si>
    <t>Finance</t>
  </si>
  <si>
    <t>Sales</t>
  </si>
  <si>
    <t>HR</t>
  </si>
  <si>
    <t>Marketing Specialist</t>
  </si>
  <si>
    <t>Digital Marketer</t>
  </si>
  <si>
    <t>Operations Specialist</t>
  </si>
  <si>
    <t>Data Analyst</t>
  </si>
  <si>
    <t>Accountant</t>
  </si>
  <si>
    <t>Operations Manager</t>
  </si>
  <si>
    <t>Sales Representative</t>
  </si>
  <si>
    <t>Financial Analyst</t>
  </si>
  <si>
    <t>IT Support</t>
  </si>
  <si>
    <t>HR Specialist</t>
  </si>
  <si>
    <t>HR Manager</t>
  </si>
  <si>
    <t>Finance Manager</t>
  </si>
  <si>
    <t>Marketing Manager</t>
  </si>
  <si>
    <t>Operations Analyst</t>
  </si>
  <si>
    <t>Project Manager</t>
  </si>
  <si>
    <t>Software Engineer</t>
  </si>
  <si>
    <t>Recruiter</t>
  </si>
  <si>
    <t>Account Manager</t>
  </si>
  <si>
    <t>Sales Manager</t>
  </si>
  <si>
    <t>Female</t>
  </si>
  <si>
    <t>Male</t>
  </si>
  <si>
    <t>Bachelor's</t>
  </si>
  <si>
    <t>Master's</t>
  </si>
  <si>
    <t>PhD</t>
  </si>
  <si>
    <t>High School</t>
  </si>
  <si>
    <t>Count of Employee_ID</t>
  </si>
  <si>
    <t>Row Labels</t>
  </si>
  <si>
    <t>Grand Total</t>
  </si>
  <si>
    <t>Column Labels</t>
  </si>
  <si>
    <t>Average of Monthly_Salary</t>
  </si>
  <si>
    <t>Employees Salary Dashboard</t>
  </si>
  <si>
    <t>Average Salary</t>
  </si>
  <si>
    <t>Max Salary</t>
  </si>
  <si>
    <t>Min Salary</t>
  </si>
  <si>
    <t>Employees</t>
  </si>
  <si>
    <t>Best performance</t>
  </si>
  <si>
    <t>Key Employees Salary Insight</t>
  </si>
  <si>
    <t>1- Finance has the highest average salary among all departments, while Marketing has the lowest, highlighting a significant salary variation across departments.
2- Finance Manager has the highest average salary among all job roles at $9,487 per month, while Digital Marketer has the lowest at $6,326, highlighting a significant salary variation across job roles.
3- Average salary varies across experience levels, indicating that professional experience has an impact on employee compensation.
4- Employees with a High School education have the highest average salary, followed by Master's and Bachelor's degree holders, while PhD employees have the lowest average salary in this dataset.
5- The Top 10 highest-paid employees have significantly higher salaries than the overall employee average, indicating a substantial salary gap between top earners and the rest of the workforce.
6- Gender distribution varies across departments, with some departments having a higher proportion of male employees while others show a more balanced gender distribution.</t>
  </si>
  <si>
    <t>AVG SALARY</t>
  </si>
  <si>
    <t>📊  Paste Headcount by Dept chart here
(Dept Analysis sheet)</t>
  </si>
  <si>
    <t>📉  Paste Attrition Trend chart here
(Attrition sheet)</t>
  </si>
  <si>
    <t>💰  Paste Salary Distribution chart here
(Compensation sheet)</t>
  </si>
  <si>
    <t>⚖️  Paste Diversity chart here
(Diversity sheet)</t>
  </si>
  <si>
    <t>🏆  Paste Performance Distribution chart here
(Performance sheet)</t>
  </si>
  <si>
    <t>🔍  Paste Hiring Source chart here
(Recruitment sheet)</t>
  </si>
  <si>
    <t>TOTAL EMPLOYEES</t>
  </si>
  <si>
    <t>MAX SALARY</t>
  </si>
  <si>
    <t>MIN SALARY</t>
  </si>
  <si>
    <t>BEST PERFORMANCE</t>
  </si>
  <si>
    <t>Ahmed Awwad  |  github.com/ahmedawwad407  |  linkedin.com/in/ahmedwadieawwad  |  Employee Salary Analysis Dashboard — 2026</t>
  </si>
  <si>
    <t>Employees Salary Analysis</t>
  </si>
  <si>
    <t xml:space="preserve">  ▶  Average Salary by Education</t>
  </si>
  <si>
    <t xml:space="preserve">  ▶  Average Salary by Job</t>
  </si>
  <si>
    <t xml:space="preserve">  ▶  Average Salary by Department</t>
  </si>
  <si>
    <t xml:space="preserve">  ▶  Average Salary Top10 Employees</t>
  </si>
  <si>
    <t xml:space="preserve">  ▶  Gender by Department</t>
  </si>
  <si>
    <t xml:space="preserve">  ▶  Average Salary by Experience_Years </t>
  </si>
  <si>
    <t xml:space="preserve">Employees Salary Analysis Report  |  2026  |  Ahmed Awwad  |  github.com/ahmedawwad407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</si>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</sst>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11" x14ac:knownFonts="1">
    <font>
      <sz val="11"/>
      <color theme="1"/>
      <name val="Arial"/>
      <family val="2"/>
      <scheme val="minor"/>
    </font>
    <font>
      <b/>
      <sz val="11"/>
      <color theme="1"/>
      <name val="Arial"/>
      <family val="2"/>
      <scheme val="minor"/>
    </font>
    <font>
      <b/>
      <u/>
      <sz val="20"/>
      <color theme="8" tint="-0.249977111117893"/>
      <name val="Arial"/>
      <family val="2"/>
      <scheme val="minor"/>
    </font>
    <font>
      <b/>
      <sz val="18"/>
      <color theme="1"/>
      <name val="Arial"/>
      <family val="2"/>
      <scheme val="minor"/>
    </font>
    <font>
      <b/>
      <sz val="22"/>
      <color rgb="FFFFFFFF"/>
      <name val="Arial"/>
      <family val="2"/>
    </font>
    <font>
      <sz val="10"/>
      <color rgb="FFFFFFFF"/>
      <name val="Arial"/>
      <family val="2"/>
    </font>
    <font>
      <b/>
      <sz val="9"/>
      <color rgb="FFFFFFFF"/>
      <name val="Arial"/>
      <family val="2"/>
    </font>
    <font>
      <b/>
      <sz val="11"/>
      <color rgb="FFFFFFFF"/>
      <name val="Arial"/>
      <family val="2"/>
    </font>
    <font>
      <i/>
      <sz val="9"/>
      <color rgb="FF566573"/>
      <name val="Arial"/>
      <family val="2"/>
    </font>
    <font>
      <i/>
      <sz val="8"/>
      <color rgb="FF566573"/>
      <name val="Arial"/>
      <family val="2"/>
    </font>
    <font>
      <i/>
      <sz val="9"/>
      <color rgb="FFA9DFBF"/>
      <name val="Arial"/>
      <family val="2"/>
    </font>
  </fonts>
  <fills count="18">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rgb="FF0E4D4D"/>
        <bgColor indexed="64"/>
      </patternFill>
    </fill>
    <fill>
      <patternFill patternType="solid">
        <fgColor rgb="FFFFFFFF"/>
        <bgColor indexed="64"/>
      </patternFill>
    </fill>
    <fill>
      <patternFill patternType="solid">
        <fgColor rgb="FF2E86C1"/>
        <bgColor indexed="64"/>
      </patternFill>
    </fill>
    <fill>
      <patternFill patternType="solid">
        <fgColor rgb="FF6C3483"/>
        <bgColor indexed="64"/>
      </patternFill>
    </fill>
    <fill>
      <patternFill patternType="solid">
        <fgColor rgb="FFD68910"/>
        <bgColor indexed="64"/>
      </patternFill>
    </fill>
    <fill>
      <patternFill patternType="solid">
        <fgColor rgb="FF1E8449"/>
        <bgColor indexed="64"/>
      </patternFill>
    </fill>
    <fill>
      <patternFill patternType="solid">
        <fgColor rgb="FF1A2F4A"/>
        <bgColor indexed="64"/>
      </patternFill>
    </fill>
    <fill>
      <patternFill patternType="solid">
        <fgColor rgb="FFEAF4FB"/>
        <bgColor indexed="64"/>
      </patternFill>
    </fill>
    <fill>
      <patternFill patternType="solid">
        <fgColor rgb="FFE9F7EF"/>
        <bgColor indexed="64"/>
      </patternFill>
    </fill>
    <fill>
      <patternFill patternType="solid">
        <fgColor rgb="FFF4ECF7"/>
        <bgColor indexed="64"/>
      </patternFill>
    </fill>
    <fill>
      <patternFill patternType="solid">
        <fgColor rgb="FFFEF9E7"/>
        <bgColor indexed="64"/>
      </patternFill>
    </fill>
    <fill>
      <patternFill patternType="solid">
        <fgColor rgb="FFD5D8DC"/>
        <bgColor indexed="64"/>
      </patternFill>
    </fill>
    <fill>
      <patternFill patternType="solid">
        <fgColor theme="4" tint="-0.499984740745262"/>
        <bgColor indexed="64"/>
      </patternFill>
    </fill>
    <fill>
      <patternFill patternType="solid">
        <fgColor rgb="FF1C2833"/>
        <bgColor indexed="64"/>
      </patternFill>
    </fill>
  </fills>
  <borders count="4">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s>
  <cellStyleXfs count="1">
    <xf numFmtId="0" fontId="0" fillId="0" borderId="0"/>
  </cellStyleXfs>
  <cellXfs count="47">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1" fillId="3" borderId="2" xfId="0" applyFont="1" applyFill="1" applyBorder="1" applyAlignment="1">
      <alignment horizontal="center" vertical="center"/>
    </xf>
    <xf numFmtId="0" fontId="1" fillId="3" borderId="0" xfId="0" applyFont="1" applyFill="1" applyAlignment="1">
      <alignment horizontal="center" vertical="center"/>
    </xf>
    <xf numFmtId="0" fontId="1" fillId="3" borderId="3" xfId="0" applyFont="1" applyFill="1" applyBorder="1" applyAlignment="1">
      <alignment horizontal="center" vertical="center"/>
    </xf>
    <xf numFmtId="1" fontId="1" fillId="3" borderId="3" xfId="0" applyNumberFormat="1" applyFont="1" applyFill="1" applyBorder="1" applyAlignment="1">
      <alignment horizontal="center" vertical="center"/>
    </xf>
    <xf numFmtId="0" fontId="0" fillId="3" borderId="0" xfId="0" applyFill="1"/>
    <xf numFmtId="0" fontId="0" fillId="2" borderId="0" xfId="0" applyFill="1" applyAlignment="1"/>
    <xf numFmtId="0" fontId="5" fillId="5" borderId="0" xfId="0" applyFont="1" applyFill="1" applyAlignment="1">
      <alignment horizontal="center" vertical="center"/>
    </xf>
    <xf numFmtId="0" fontId="8" fillId="11" borderId="0" xfId="0" applyFont="1" applyFill="1" applyAlignment="1">
      <alignment horizontal="center" vertical="center" wrapText="1"/>
    </xf>
    <xf numFmtId="0" fontId="8" fillId="12" borderId="0" xfId="0" applyFont="1" applyFill="1" applyAlignment="1">
      <alignment horizontal="center" vertical="center" wrapText="1"/>
    </xf>
    <xf numFmtId="0" fontId="8" fillId="13" borderId="0" xfId="0" applyFont="1" applyFill="1" applyAlignment="1">
      <alignment horizontal="center" vertical="center" wrapText="1"/>
    </xf>
    <xf numFmtId="0" fontId="8" fillId="14" borderId="0" xfId="0" applyFont="1" applyFill="1" applyAlignment="1">
      <alignment horizontal="center" vertical="center" wrapText="1"/>
    </xf>
    <xf numFmtId="0" fontId="7" fillId="8" borderId="0" xfId="0" applyFont="1" applyFill="1" applyAlignment="1">
      <alignment vertical="center"/>
    </xf>
    <xf numFmtId="0" fontId="10" fillId="17" borderId="0" xfId="0" applyFont="1" applyFill="1" applyAlignment="1">
      <alignment horizontal="center" vertical="center"/>
    </xf>
    <xf numFmtId="3" fontId="4" fillId="4" borderId="0" xfId="0" applyNumberFormat="1" applyFont="1" applyFill="1" applyAlignment="1">
      <alignment horizontal="center" vertical="center"/>
    </xf>
    <xf numFmtId="164" fontId="4" fillId="6" borderId="0" xfId="0" applyNumberFormat="1" applyFont="1" applyFill="1" applyAlignment="1">
      <alignment horizontal="center" vertical="center"/>
    </xf>
    <xf numFmtId="164" fontId="4" fillId="7" borderId="0" xfId="0" applyNumberFormat="1" applyFont="1" applyFill="1" applyAlignment="1">
      <alignment horizontal="center" vertical="center"/>
    </xf>
    <xf numFmtId="164" fontId="4" fillId="8" borderId="0" xfId="0" applyNumberFormat="1" applyFont="1" applyFill="1" applyAlignment="1">
      <alignment horizontal="center" vertical="center"/>
    </xf>
    <xf numFmtId="0" fontId="6" fillId="4"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8" borderId="0" xfId="0" applyFont="1" applyFill="1" applyAlignment="1">
      <alignment horizontal="center" vertical="center"/>
    </xf>
    <xf numFmtId="0" fontId="8" fillId="12" borderId="0" xfId="0" applyFont="1" applyFill="1" applyAlignment="1">
      <alignment horizontal="center" vertical="center" wrapText="1"/>
    </xf>
    <xf numFmtId="0" fontId="8" fillId="11" borderId="0" xfId="0" applyFont="1" applyFill="1" applyAlignment="1">
      <alignment horizontal="center" vertical="center" wrapText="1"/>
    </xf>
    <xf numFmtId="0" fontId="7" fillId="7" borderId="0" xfId="0" applyFont="1" applyFill="1" applyAlignment="1">
      <alignment horizontal="left" vertical="center"/>
    </xf>
    <xf numFmtId="0" fontId="8" fillId="13" borderId="0" xfId="0" applyFont="1" applyFill="1" applyAlignment="1">
      <alignment horizontal="center" vertical="center" wrapText="1"/>
    </xf>
    <xf numFmtId="0" fontId="7" fillId="4" borderId="0" xfId="0" applyFont="1" applyFill="1" applyAlignment="1">
      <alignment horizontal="left" vertical="center" wrapText="1"/>
    </xf>
    <xf numFmtId="0" fontId="7" fillId="4" borderId="0" xfId="0" applyFont="1" applyFill="1" applyAlignment="1">
      <alignment horizontal="left" vertical="center"/>
    </xf>
    <xf numFmtId="0" fontId="9" fillId="15" borderId="0" xfId="0" applyFont="1" applyFill="1" applyAlignment="1">
      <alignment horizontal="center" vertical="center"/>
    </xf>
    <xf numFmtId="0" fontId="8" fillId="14" borderId="0" xfId="0" applyFont="1" applyFill="1" applyAlignment="1">
      <alignment horizontal="center" vertical="center" wrapText="1"/>
    </xf>
    <xf numFmtId="0" fontId="7" fillId="8" borderId="0" xfId="0" applyFont="1" applyFill="1" applyAlignment="1">
      <alignment horizontal="left" vertical="center"/>
    </xf>
    <xf numFmtId="0" fontId="7" fillId="9" borderId="0" xfId="0" applyFont="1" applyFill="1" applyAlignment="1">
      <alignment horizontal="left" vertical="center"/>
    </xf>
    <xf numFmtId="49" fontId="6" fillId="16" borderId="0" xfId="0" applyNumberFormat="1" applyFont="1" applyFill="1" applyAlignment="1">
      <alignment horizontal="center" vertical="center"/>
    </xf>
    <xf numFmtId="164" fontId="4" fillId="16" borderId="0" xfId="0" applyNumberFormat="1" applyFont="1" applyFill="1" applyAlignment="1">
      <alignment horizontal="center" vertical="center"/>
    </xf>
    <xf numFmtId="0" fontId="4" fillId="4" borderId="0" xfId="0" applyFont="1" applyFill="1" applyAlignment="1">
      <alignment horizontal="center" vertical="center"/>
    </xf>
    <xf numFmtId="0" fontId="7" fillId="6" borderId="0" xfId="0" applyFont="1" applyFill="1" applyAlignment="1">
      <alignment vertical="center"/>
    </xf>
    <xf numFmtId="0" fontId="7" fillId="10" borderId="0" xfId="0" applyFont="1" applyFill="1" applyAlignment="1">
      <alignment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Font="1" applyAlignment="1">
      <alignment horizontal="left" vertical="top" wrapText="1"/>
    </xf>
  </cellXfs>
  <cellStyles count="1">
    <cellStyle name="Normal" xfId="0" builtinId="0"/>
  </cellStyles>
  <dxfs count="52">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2" formatCode="0.00"/>
    </dxf>
    <dxf>
      <numFmt numFmtId="2" formatCode="0.00"/>
    </dxf>
    <dxf>
      <numFmt numFmtId="14" formatCode="0.00%"/>
    </dxf>
    <dxf>
      <numFmt numFmtId="14" formatCode="0.00%"/>
    </dxf>
    <dxf>
      <numFmt numFmtId="14" formatCode="0.00%"/>
    </dxf>
    <dxf>
      <numFmt numFmtId="1" formatCode="0"/>
    </dxf>
    <dxf>
      <numFmt numFmtId="165" formatCode="0.0"/>
    </dxf>
    <dxf>
      <numFmt numFmtId="2" formatCode="0.00"/>
    </dxf>
    <dxf>
      <numFmt numFmtId="1" formatCode="0"/>
    </dxf>
    <dxf>
      <numFmt numFmtId="165" formatCode="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rial"/>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[Employee_Salary_Analysis.xlsx]Average Salary by Department!PivotTable1</c:name>
    <c:fmtId val="9"/>
  </c:pivotSource>
  <c:chart>
    <c:autoTitleDeleted val="1"/>
    <c:pivotFmts>
      <c:pivotFmt>
        <c:idx val="0"/>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
        <c:idx val="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'Average Salary by Department'!$B$3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'Average Salary by Department'!$A$4:$A$10</c:f>
              <c:strCache>
                <c:ptCount val="6"/>
                <c:pt idx="0">
                  <c:v>Finance</c:v>
                </c:pt>
                <c:pt idx="1">
                  <c:v>IT</c:v>
                </c:pt>
                <c:pt idx="2">
                  <c:v>Operations</c:v>
                </c:pt>
                <c:pt idx="3">
                  <c:v>Sales</c:v>
                </c:pt>
                <c:pt idx="4">
                  <c:v>HR</c:v>
                </c:pt>
                <c:pt idx="5">
                  <c:v>Marketing</c:v>
                </c:pt>
              </c:strCache>
            </c:strRef>
          </c:cat>
          <c:val>
            <c:numRef>
              <c:f>'Average Salary by Department'!$B$4:$B$10</c:f>
              <c:numCache>
                <c:formatCode>0</c:formatCode>
                <c:ptCount val="6"/>
                <c:pt idx="0">
                  <c:v>8154.591836734694</c:v>
                </c:pt>
                <c:pt idx="1">
                  <c:v>7882.424242424242</c:v>
                </c:pt>
                <c:pt idx="2">
                  <c:v>7568.0733944954127</c:v>
                </c:pt>
                <c:pt idx="3">
                  <c:v>7467.5789473684208</c:v>
                </c:pt>
                <c:pt idx="4">
                  <c:v>7096.4864864864867</c:v>
                </c:pt>
                <c:pt idx="5">
                  <c:v>7063.636363636364</c:v>
                </c:pt>
              </c:numCache>
            </c:numRef>
          </c:val>
          <c:extLst>
            <c:ext xmlns:c16="http://schemas.microsoft.com/office/drawing/2014/chart" uri="{C3380CC4-5D6E-409C-BE32-E72D297353CC}">
              <c16:uniqueId val="{00000000-E5F1-4D18-8D8D-15EBD4808012}"/>
            </c:ext>
          </c:extLst>
        </c:ser>
        <c:dLbls>
          <c:dLblPos val="outEnd"/>
          <c:showLegendKey val="0"/>
          <c:showVal val="1"/>
          <c:showCatName val="0"/>
          <c:showSerName val="0"/>
          <c:showPercent val="0"/>
          <c:showBubbleSize val="0"/>
        </c:dLbls>
        <c:gapWidth val="219"/>
        <c:overlap val="-27"/>
        <c:axId val="1576451008"/>
        <c:axId val="1568555120"/>
      </c:barChart>
      <c:catAx>
        <c:axId val="15764510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568555120"/>
        <c:crosses val="autoZero"/>
        <c:auto val="1"/>
        <c:lblAlgn val="ctr"/>
        <c:lblOffset val="100"/>
        <c:noMultiLvlLbl val="0"/>
      </c:catAx>
      <c:valAx>
        <c:axId val="1568555120"/>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576451008"/>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[Employee_Salary_Analysis.xlsx]Average Salary by Job!PivotTable3</c:name>
    <c:fmtId val="11"/>
  </c:pivotSource>
  <c:chart>
    <c:autoTitleDeleted val="1"/>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pivotFmt>
      <c:pivotFmt>
        <c:idx val="10"/>
      </c:pivotFmt>
      <c:pivotFmt>
        <c:idx val="11"/>
      </c:pivotFmt>
      <c:pivotFmt>
        <c:idx val="12"/>
      </c:pivotFmt>
      <c:pivotFmt>
        <c:idx val="13"/>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pivotFmt>
      <c:pivotFmt>
        <c:idx val="20"/>
        <c:spPr>
          <a:solidFill>
            <a:schemeClr val="accent5"/>
          </a:solidFill>
          <a:ln>
            <a:noFill/>
          </a:ln>
          <a:effectLst/>
        </c:spPr>
        <c:marker>
          <c:symbol val="none"/>
        </c:marker>
      </c:pivotFmt>
      <c:pivotFmt>
        <c:idx val="21"/>
        <c:spPr>
          <a:solidFill>
            <a:schemeClr val="accent5"/>
          </a:solidFill>
          <a:ln>
            <a:noFill/>
          </a:ln>
          <a:effectLst/>
        </c:spPr>
        <c:marker>
          <c:symbol val="none"/>
        </c:marker>
      </c:pivotFmt>
      <c:pivotFmt>
        <c:idx val="22"/>
        <c:spPr>
          <a:solidFill>
            <a:schemeClr val="accent5"/>
          </a:solidFill>
          <a:ln>
            <a:noFill/>
          </a:ln>
          <a:effectLst/>
        </c:spPr>
        <c:marker>
          <c:symbol val="none"/>
        </c:marker>
      </c:pivotFmt>
      <c:pivotFmt>
        <c:idx val="23"/>
        <c:spPr>
          <a:solidFill>
            <a:schemeClr val="accent5"/>
          </a:solidFill>
          <a:ln>
            <a:noFill/>
          </a:ln>
          <a:effectLst/>
        </c:spPr>
        <c:marker>
          <c:symbol val="none"/>
        </c:marker>
      </c:pivotFmt>
      <c:pivotFmt>
        <c:idx val="24"/>
        <c:spPr>
          <a:solidFill>
            <a:schemeClr val="accent5"/>
          </a:solidFill>
          <a:ln>
            <a:noFill/>
          </a:ln>
          <a:effectLst/>
        </c:spPr>
        <c:marker>
          <c:symbol val="none"/>
        </c:marker>
      </c:pivotFmt>
      <c:pivotFmt>
        <c:idx val="25"/>
        <c:spPr>
          <a:solidFill>
            <a:schemeClr val="accent5"/>
          </a:solidFill>
          <a:ln>
            <a:noFill/>
          </a:ln>
          <a:effectLst/>
        </c:spPr>
        <c:marker>
          <c:symbol val="none"/>
        </c:marker>
      </c:pivotFmt>
      <c:pivotFmt>
        <c:idx val="2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9482312185724264E-2"/>
          <c:y val="0.19847003499562554"/>
          <c:w val="0.81830642381823482"/>
          <c:h val="0.63384113444152801"/>
        </c:manualLayout>
      </c:layout>
      <c:barChart>
        <c:barDir val="bar"/>
        <c:grouping val="clustered"/>
        <c:varyColors val="0"/>
        <c:ser>
          <c:idx val="0"/>
          <c:order val="0"/>
          <c:tx>
            <c:strRef>
              <c:f>'Average Salary by Job'!$B$3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'Average Salary by Job'!$A$4:$A$14</c:f>
              <c:strCache>
                <c:ptCount val="10"/>
                <c:pt idx="0">
                  <c:v>Finance Manager</c:v>
                </c:pt>
                <c:pt idx="1">
                  <c:v>Account Manager</c:v>
                </c:pt>
                <c:pt idx="2">
                  <c:v>Project Manager</c:v>
                </c:pt>
                <c:pt idx="3">
                  <c:v>Operations Manager</c:v>
                </c:pt>
                <c:pt idx="4">
                  <c:v>Software Engineer</c:v>
                </c:pt>
                <c:pt idx="5">
                  <c:v>Data Analyst</c:v>
                </c:pt>
                <c:pt idx="6">
                  <c:v>HR Manager</c:v>
                </c:pt>
                <c:pt idx="7">
                  <c:v>Marketing Manager</c:v>
                </c:pt>
                <c:pt idx="8">
                  <c:v>Financial Analyst</c:v>
                </c:pt>
                <c:pt idx="9">
                  <c:v>Operations Analyst</c:v>
                </c:pt>
              </c:strCache>
            </c:strRef>
          </c:cat>
          <c:val>
            <c:numRef>
              <c:f>'Average Salary by Job'!$B$4:$B$14</c:f>
              <c:numCache>
                <c:formatCode>0</c:formatCode>
                <c:ptCount val="10"/>
                <c:pt idx="0">
                  <c:v>9486.5517241379312</c:v>
                </c:pt>
                <c:pt idx="1">
                  <c:v>8361.25</c:v>
                </c:pt>
                <c:pt idx="2">
                  <c:v>8304.545454545454</c:v>
                </c:pt>
                <c:pt idx="3">
                  <c:v>8271.3513513513517</c:v>
                </c:pt>
                <c:pt idx="4">
                  <c:v>8131.9354838709678</c:v>
                </c:pt>
                <c:pt idx="5">
                  <c:v>8093.478260869565</c:v>
                </c:pt>
                <c:pt idx="6">
                  <c:v>7964.1935483870966</c:v>
                </c:pt>
                <c:pt idx="7">
                  <c:v>7952.3076923076924</c:v>
                </c:pt>
                <c:pt idx="8">
                  <c:v>7850</c:v>
                </c:pt>
                <c:pt idx="9">
                  <c:v>7745.625</c:v>
                </c:pt>
              </c:numCache>
            </c:numRef>
          </c:val>
          <c:extLst>
            <c:ext xmlns:c16="http://schemas.microsoft.com/office/drawing/2014/chart" uri="{C3380CC4-5D6E-409C-BE32-E72D297353CC}">
              <c16:uniqueId val="{00000000-1618-4DD2-BF84-4779EED1F15A}"/>
            </c:ext>
          </c:extLst>
        </c:ser>
        <c:dLbls>
          <c:dLblPos val="outEnd"/>
          <c:showLegendKey val="0"/>
          <c:showVal val="1"/>
          <c:showCatName val="0"/>
          <c:showSerName val="0"/>
          <c:showPercent val="0"/>
          <c:showBubbleSize val="0"/>
        </c:dLbls>
        <c:gapWidth val="219"/>
        <c:axId val="726172303"/>
        <c:axId val="726172719"/>
      </c:barChart>
      <c:catAx>
        <c:axId val="726172303"/>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726172719"/>
        <c:crosses val="autoZero"/>
        <c:auto val="1"/>
        <c:lblAlgn val="ctr"/>
        <c:lblOffset val="100"/>
        <c:noMultiLvlLbl val="0"/>
      </c:catAx>
      <c:valAx>
        <c:axId val="726172719"/>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726172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Top10 Employees!PivotTable2</c:name>
    <c:fmtId val="19"/>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'Average Salary Top10 Employees'!$B$3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'Average Salary Top10 Employees'!$A$4:$A$14</c:f>
              <c:strCache>
                <c:ptCount val="10"/>
                <c:pt idx="0">
                  <c:v>E0072</c:v>
                </c:pt>
                <c:pt idx="1">
                  <c:v>E0393</c:v>
                </c:pt>
                <c:pt idx="2">
                  <c:v>E0018</c:v>
                </c:pt>
                <c:pt idx="3">
                  <c:v>E0581</c:v>
                </c:pt>
                <c:pt idx="4">
                  <c:v>E0497</c:v>
                </c:pt>
                <c:pt idx="5">
                  <c:v>E0466</c:v>
                </c:pt>
                <c:pt idx="6">
                  <c:v>E0164</c:v>
                </c:pt>
                <c:pt idx="7">
                  <c:v>E0171</c:v>
                </c:pt>
                <c:pt idx="8">
                  <c:v>E0214</c:v>
                </c:pt>
                <c:pt idx="9">
                  <c:v>E0360</c:v>
                </c:pt>
              </c:strCache>
            </c:strRef>
          </c:cat>
          <c:val>
            <c:numRef>
              <c:f>'Average Salary Top10 Employees'!$B$4:$B$14</c:f>
              <c:numCache>
                <c:formatCode>0</c:formatCode>
                <c:ptCount val="10"/>
                <c:pt idx="0">
                  <c:v>12050</c:v>
                </c:pt>
                <c:pt idx="1">
                  <c:v>11550</c:v>
                </c:pt>
                <c:pt idx="2">
                  <c:v>11530</c:v>
                </c:pt>
                <c:pt idx="3">
                  <c:v>11340</c:v>
                </c:pt>
                <c:pt idx="4">
                  <c:v>11120</c:v>
                </c:pt>
                <c:pt idx="5">
                  <c:v>11070</c:v>
                </c:pt>
                <c:pt idx="6">
                  <c:v>11060</c:v>
                </c:pt>
                <c:pt idx="7">
                  <c:v>11030</c:v>
                </c:pt>
                <c:pt idx="8">
                  <c:v>11000</c:v>
                </c:pt>
                <c:pt idx="9">
                  <c:v>10970</c:v>
                </c:pt>
              </c:numCache>
            </c:numRef>
          </c:val>
          <c:extLst>
            <c:ext xmlns:c16="http://schemas.microsoft.com/office/drawing/2014/chart" uri="{C3380CC4-5D6E-409C-BE32-E72D297353CC}">
              <c16:uniqueId val="{00000000-1571-4D56-B131-0D5E6DC5B1CD}"/>
            </c:ext>
          </c:extLst>
        </c:ser>
        <c:dLbls>
          <c:dLblPos val="outEnd"/>
          <c:showLegendKey val="0"/>
          <c:showVal val="1"/>
          <c:showCatName val="0"/>
          <c:showSerName val="0"/>
          <c:showPercent val="0"/>
          <c:showBubbleSize val="0"/>
        </c:dLbls>
        <c:gapWidth val="182"/>
        <c:axId val="172434431"/>
        <c:axId val="172447327"/>
      </c:barChart>
      <c:catAx>
        <c:axId val="17243443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72447327"/>
        <c:crosses val="autoZero"/>
        <c:auto val="1"/>
        <c:lblAlgn val="ctr"/>
        <c:lblOffset val="100"/>
        <c:noMultiLvlLbl val="0"/>
      </c:catAx>
      <c:valAx>
        <c:axId val="172447327"/>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72434431"/>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by Education!PivotTable2</c:name>
    <c:fmtId val="11"/>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'Average Salary by Education'!$B$3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'Average Salary by Education'!$A$4:$A$8</c:f>
              <c:strCache>
                <c:ptCount val="4"/>
                <c:pt idx="0">
                  <c:v>High School</c:v>
                </c:pt>
                <c:pt idx="1">
                  <c:v>Master's</c:v>
                </c:pt>
                <c:pt idx="2">
                  <c:v>Bachelor's</c:v>
                </c:pt>
                <c:pt idx="3">
                  <c:v>PhD</c:v>
                </c:pt>
              </c:strCache>
            </c:strRef>
          </c:cat>
          <c:val>
            <c:numRef>
              <c:f>'Average Salary by Education'!$B$4:$B$8</c:f>
              <c:numCache>
                <c:formatCode>0</c:formatCode>
                <c:ptCount val="4"/>
                <c:pt idx="0">
                  <c:v>7676.8965517241377</c:v>
                </c:pt>
                <c:pt idx="1">
                  <c:v>7631.4102564102568</c:v>
                </c:pt>
                <c:pt idx="2">
                  <c:v>7467.339449541284</c:v>
                </c:pt>
                <c:pt idx="3">
                  <c:v>7431.666666666667</c:v>
                </c:pt>
              </c:numCache>
            </c:numRef>
          </c:val>
          <c:extLst>
            <c:ext xmlns:c16="http://schemas.microsoft.com/office/drawing/2014/chart" uri="{C3380CC4-5D6E-409C-BE32-E72D297353CC}">
              <c16:uniqueId val="{00000000-7DE4-4F79-86B6-43B835915816}"/>
            </c:ext>
          </c:extLst>
        </c:ser>
        <c:dLbls>
          <c:dLblPos val="outEnd"/>
          <c:showLegendKey val="0"/>
          <c:showVal val="1"/>
          <c:showCatName val="0"/>
          <c:showSerName val="0"/>
          <c:showPercent val="0"/>
          <c:showBubbleSize val="0"/>
        </c:dLbls>
        <c:gapWidth val="182"/>
        <c:axId val="641694463"/>
        <c:axId val="641691967"/>
      </c:barChart>
      <c:catAx>
        <c:axId val="64169446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641691967"/>
        <c:crosses val="autoZero"/>
        <c:auto val="1"/>
        <c:lblAlgn val="ctr"/>
        <c:lblOffset val="100"/>
        <c:noMultiLvlLbl val="0"/>
      </c:catAx>
      <c:valAx>
        <c:axId val="641691967"/>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641694463"/>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[Employee_Salary_Analysis.xlsx]Average Salary by Experience!PivotTable1</c:name>
    <c:fmtId val="11"/>
  </c:pivotSource>
  <c:chart>
    <c:autoTitleDeleted val="1"/>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pivotFmt>
      <c:pivotFmt>
        <c:idx val="11"/>
        <c:spPr>
          <a:solidFill>
            <a:schemeClr val="accent3"/>
          </a:solidFill>
          <a:ln>
            <a:noFill/>
          </a:ln>
          <a:effectLst/>
        </c:spPr>
        <c:marker>
          <c:symbol val="none"/>
        </c:marker>
      </c:pivotFmt>
      <c:pivotFmt>
        <c:idx val="12"/>
        <c:spPr>
          <a:solidFill>
            <a:schemeClr val="accent3"/>
          </a:solidFill>
          <a:ln>
            <a:noFill/>
          </a:ln>
          <a:effectLst/>
        </c:spPr>
        <c:marker>
          <c:symbol val="none"/>
        </c:marker>
      </c:pivotFmt>
      <c:pivotFmt>
        <c:idx val="13"/>
        <c:spPr>
          <a:solidFill>
            <a:schemeClr val="accent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'Average Salary by Experience'!$B$3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'Average Salary by Experience'!$A$4:$A$14</c:f>
              <c:strCache>
                <c:ptCount val="10"/>
                <c:pt idx="0">
                  <c:v>40</c:v>
                </c:pt>
                <c:pt idx="1">
                  <c:v>36</c:v>
                </c:pt>
                <c:pt idx="2">
                  <c:v>39</c:v>
                </c:pt>
                <c:pt idx="3">
                  <c:v>38</c:v>
                </c:pt>
                <c:pt idx="4">
                  <c:v>37</c:v>
                </c:pt>
                <c:pt idx="5">
                  <c:v>35</c:v>
                </c:pt>
                <c:pt idx="6">
                  <c:v>34</c:v>
                </c:pt>
                <c:pt idx="7">
                  <c:v>42</c:v>
                </c:pt>
                <c:pt idx="8">
                  <c:v>33</c:v>
                </c:pt>
                <c:pt idx="9">
                  <c:v>31</c:v>
                </c:pt>
              </c:strCache>
            </c:strRef>
          </c:cat>
          <c:val>
            <c:numRef>
              <c:f>'Average Salary by Experience'!$B$4:$B$14</c:f>
              <c:numCache>
                <c:formatCode>0</c:formatCode>
                <c:ptCount val="10"/>
                <c:pt idx="0">
                  <c:v>10606</c:v>
                </c:pt>
                <c:pt idx="1">
                  <c:v>10238.571428571429</c:v>
                </c:pt>
                <c:pt idx="2">
                  <c:v>10208</c:v>
                </c:pt>
                <c:pt idx="3">
                  <c:v>9760</c:v>
                </c:pt>
                <c:pt idx="4">
                  <c:v>9660</c:v>
                </c:pt>
                <c:pt idx="5">
                  <c:v>9488.8888888888887</c:v>
                </c:pt>
                <c:pt idx="6">
                  <c:v>9475</c:v>
                </c:pt>
                <c:pt idx="7">
                  <c:v>9370</c:v>
                </c:pt>
                <c:pt idx="8">
                  <c:v>9285.78947368421</c:v>
                </c:pt>
                <c:pt idx="9">
                  <c:v>9258.75</c:v>
                </c:pt>
              </c:numCache>
            </c:numRef>
          </c:val>
          <c:extLst>
            <c:ext xmlns:c16="http://schemas.microsoft.com/office/drawing/2014/chart" uri="{C3380CC4-5D6E-409C-BE32-E72D297353CC}">
              <c16:uniqueId val="{00000000-2D65-4F05-B7E0-1C608F447291}"/>
            </c:ext>
          </c:extLst>
        </c:ser>
        <c:dLbls>
          <c:dLblPos val="outEnd"/>
          <c:showLegendKey val="0"/>
          <c:showVal val="1"/>
          <c:showCatName val="0"/>
          <c:showSerName val="0"/>
          <c:showPercent val="0"/>
          <c:showBubbleSize val="0"/>
        </c:dLbls>
        <c:gapWidth val="219"/>
        <c:overlap val="-27"/>
        <c:axId val="1882708047"/>
        <c:axId val="1882708463"/>
      </c:barChart>
      <c:catAx>
        <c:axId val="18827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82708463"/>
        <c:crosses val="autoZero"/>
        <c:auto val="1"/>
        <c:lblAlgn val="ctr"/>
        <c:lblOffset val="100"/>
        <c:noMultiLvlLbl val="0"/>
      </c:catAx>
      <c:valAx>
        <c:axId val="1882708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82708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[Employee_Salary_Analysis.xlsx]Gender by Department!PivotTable1</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405555555555556"/>
          <c:y val="0.11142870362591215"/>
          <c:w val="0.62443263342082245"/>
          <c:h val="0.78413470143665465"/>
        </c:manualLayout>
      </c:layout>
      <c:barChart>
        <c:barDir val="bar"/>
        <c:grouping val="clustered"/>
        <c:varyColors val="0"/>
        <c:ser>
          <c:idx val="0"/>
          <c:order val="0"/>
          <c:tx>
            <c:strRef>
              <c:f>'Gender by Department'!$B$3:$B$4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by Department'!$A$5:$A$11</c:f>
              <c:strCache>
                <c:ptCount val="6"/>
                <c:pt idx="0">
                  <c:v>HR</c:v>
                </c:pt>
                <c:pt idx="1">
                  <c:v>Operations</c:v>
                </c:pt>
                <c:pt idx="2">
                  <c:v>IT</c:v>
                </c:pt>
                <c:pt idx="3">
                  <c:v>Finance</c:v>
                </c:pt>
                <c:pt idx="4">
                  <c:v>Sales</c:v>
                </c:pt>
                <c:pt idx="5">
                  <c:v>Marketing</c:v>
                </c:pt>
              </c:strCache>
            </c:strRef>
          </c:cat>
          <c:val>
            <c:numRef>
              <c:f>'Gender by Department'!$B$5:$B$11</c:f>
              <c:numCache>
                <c:formatCode>General</c:formatCode>
                <c:ptCount val="6"/>
                <c:pt idx="0">
                  <c:v>52</c:v>
                </c:pt>
                <c:pt idx="1">
                  <c:v>48</c:v>
                </c:pt>
                <c:pt idx="2">
                  <c:v>53</c:v>
                </c:pt>
                <c:pt idx="3">
                  <c:v>45</c:v>
                </c:pt>
                <c:pt idx="4">
                  <c:v>45</c:v>
                </c:pt>
                <c:pt idx="5">
                  <c:v>45</c:v>
                </c:pt>
              </c:numCache>
            </c:numRef>
          </c:val>
          <c:extLst>
            <c:ext xmlns:c16="http://schemas.microsoft.com/office/drawing/2014/chart" uri="{C3380CC4-5D6E-409C-BE32-E72D297353CC}">
              <c16:uniqueId val="{00000000-A3A3-42C0-BA48-36843A606A4D}"/>
            </c:ext>
          </c:extLst>
        </c:ser>
        <c:ser>
          <c:idx val="1"/>
          <c:order val="1"/>
          <c:tx>
            <c:strRef>
              <c:f>'Gender by Department'!$C$3:$C$4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by Department'!$A$5:$A$11</c:f>
              <c:strCache>
                <c:ptCount val="6"/>
                <c:pt idx="0">
                  <c:v>HR</c:v>
                </c:pt>
                <c:pt idx="1">
                  <c:v>Operations</c:v>
                </c:pt>
                <c:pt idx="2">
                  <c:v>IT</c:v>
                </c:pt>
                <c:pt idx="3">
                  <c:v>Finance</c:v>
                </c:pt>
                <c:pt idx="4">
                  <c:v>Sales</c:v>
                </c:pt>
                <c:pt idx="5">
                  <c:v>Marketing</c:v>
                </c:pt>
              </c:strCache>
            </c:strRef>
          </c:cat>
          <c:val>
            <c:numRef>
              <c:f>'Gender by Department'!$C$5:$C$11</c:f>
              <c:numCache>
                <c:formatCode>General</c:formatCode>
                <c:ptCount val="6"/>
                <c:pt idx="0">
                  <c:v>59</c:v>
                </c:pt>
                <c:pt idx="1">
                  <c:v>61</c:v>
                </c:pt>
                <c:pt idx="2">
                  <c:v>46</c:v>
                </c:pt>
                <c:pt idx="3">
                  <c:v>53</c:v>
                </c:pt>
                <c:pt idx="4">
                  <c:v>50</c:v>
                </c:pt>
                <c:pt idx="5">
                  <c:v>43</c:v>
                </c:pt>
              </c:numCache>
            </c:numRef>
          </c:val>
          <c:extLst>
            <c:ext xmlns:c16="http://schemas.microsoft.com/office/drawing/2014/chart" uri="{C3380CC4-5D6E-409C-BE32-E72D297353CC}">
              <c16:uniqueId val="{00000001-A3A3-42C0-BA48-36843A606A4D}"/>
            </c:ext>
          </c:extLst>
        </c:ser>
        <c:dLbls>
          <c:dLblPos val="outEnd"/>
          <c:showLegendKey val="0"/>
          <c:showVal val="1"/>
          <c:showCatName val="0"/>
          <c:showSerName val="0"/>
          <c:showPercent val="0"/>
          <c:showBubbleSize val="0"/>
        </c:dLbls>
        <c:gapWidth val="182"/>
        <c:axId val="1885844095"/>
        <c:axId val="1974792863"/>
      </c:barChart>
      <c:catAx>
        <c:axId val="188584409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974792863"/>
        <c:crosses val="autoZero"/>
        <c:auto val="1"/>
        <c:lblAlgn val="ctr"/>
        <c:lblOffset val="100"/>
        <c:noMultiLvlLbl val="0"/>
      </c:catAx>
      <c:valAx>
        <c:axId val="197479286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crossAx val="1885844095"/>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[Employee_Salary_Analysis.xlsx]Gender by Department!PivotTable1</c:name>
    <c:fmtId val="5"/>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Gender</a:t>
            </a:r>
            <a:r>
              <a:rPr lang="en-US" sz="1600" b="1" baseline="0">
                <a:solidFill>
                  <a:schemeClr val="tx2"/>
                </a:solidFill>
              </a:rPr>
              <a:t> by Department</a:t>
            </a:r>
            <a:endParaRPr lang="en-US" sz="1600" b="1">
              <a:solidFill>
                <a:schemeClr val="tx2"/>
              </a:solidFill>
            </a:endParaRPr>
          </a:p>
        </c:rich>
      </c:tx>
      <c:layout>
        <c:manualLayout>
          <c:xMode val="edge"/>
          <c:yMode val="edge"/>
          <c:x val="0.42920122484689416"/>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18405555555555556"/>
          <c:y val="0.21194225721784776"/>
          <c:w val="0.62443263342082245"/>
          <c:h val="0.6836213181685622"/>
        </c:manualLayout>
      </c:layout>
      <c:barChart>
        <c:barDir val="bar"/>
        <c:grouping val="clustered"/>
        <c:varyColors val="0"/>
        <c:ser>
          <c:idx val="0"/>
          <c:order val="0"/>
          <c:tx>
            <c:strRef>
              <c:f>'Gender by Department'!$B$3:$B$4</c:f>
              <c:strCache>
                <c:ptCount val="1"/>
                <c:pt idx="0">
                  <c:v>Female</c:v>
                </c:pt>
              </c:strCache>
            </c:strRef>
          </c:tx>
          <c:spPr>
            <a:solidFill>
              <a:schemeClr val="accent1"/>
            </a:solidFill>
            <a:ln>
              <a:noFill/>
            </a:ln>
            <a:effectLst/>
          </c:spPr>
          <c:invertIfNegative val="0"/>
          <c:cat>
            <c:strRef>
              <c:f>'Gender by Department'!$A$5:$A$11</c:f>
              <c:strCache>
                <c:ptCount val="6"/>
                <c:pt idx="0">
                  <c:v>HR</c:v>
                </c:pt>
                <c:pt idx="1">
                  <c:v>Operations</c:v>
                </c:pt>
                <c:pt idx="2">
                  <c:v>IT</c:v>
                </c:pt>
                <c:pt idx="3">
                  <c:v>Finance</c:v>
                </c:pt>
                <c:pt idx="4">
                  <c:v>Sales</c:v>
                </c:pt>
                <c:pt idx="5">
                  <c:v>Marketing</c:v>
                </c:pt>
              </c:strCache>
            </c:strRef>
          </c:cat>
          <c:val>
            <c:numRef>
              <c:f>'Gender by Department'!$B$5:$B$11</c:f>
              <c:numCache>
                <c:formatCode>General</c:formatCode>
                <c:ptCount val="6"/>
                <c:pt idx="0">
                  <c:v>52</c:v>
                </c:pt>
                <c:pt idx="1">
                  <c:v>48</c:v>
                </c:pt>
                <c:pt idx="2">
                  <c:v>53</c:v>
                </c:pt>
                <c:pt idx="3">
                  <c:v>45</c:v>
                </c:pt>
                <c:pt idx="4">
                  <c:v>45</c:v>
                </c:pt>
                <c:pt idx="5">
                  <c:v>45</c:v>
                </c:pt>
              </c:numCache>
            </c:numRef>
          </c:val>
          <c:extLst>
            <c:ext xmlns:c16="http://schemas.microsoft.com/office/drawing/2014/chart" uri="{C3380CC4-5D6E-409C-BE32-E72D297353CC}">
              <c16:uniqueId val="{00000000-3A0B-4E43-9746-95212F24F36E}"/>
            </c:ext>
          </c:extLst>
        </c:ser>
        <c:ser>
          <c:idx val="1"/>
          <c:order val="1"/>
          <c:tx>
            <c:strRef>
              <c:f>'Gender by Department'!$C$3:$C$4</c:f>
              <c:strCache>
                <c:ptCount val="1"/>
                <c:pt idx="0">
                  <c:v>Male</c:v>
                </c:pt>
              </c:strCache>
            </c:strRef>
          </c:tx>
          <c:spPr>
            <a:solidFill>
              <a:schemeClr val="accent2"/>
            </a:solidFill>
            <a:ln>
              <a:noFill/>
            </a:ln>
            <a:effectLst/>
          </c:spPr>
          <c:invertIfNegative val="0"/>
          <c:cat>
            <c:strRef>
              <c:f>'Gender by Department'!$A$5:$A$11</c:f>
              <c:strCache>
                <c:ptCount val="6"/>
                <c:pt idx="0">
                  <c:v>HR</c:v>
                </c:pt>
                <c:pt idx="1">
                  <c:v>Operations</c:v>
                </c:pt>
                <c:pt idx="2">
                  <c:v>IT</c:v>
                </c:pt>
                <c:pt idx="3">
                  <c:v>Finance</c:v>
                </c:pt>
                <c:pt idx="4">
                  <c:v>Sales</c:v>
                </c:pt>
                <c:pt idx="5">
                  <c:v>Marketing</c:v>
                </c:pt>
              </c:strCache>
            </c:strRef>
          </c:cat>
          <c:val>
            <c:numRef>
              <c:f>'Gender by Department'!$C$5:$C$11</c:f>
              <c:numCache>
                <c:formatCode>General</c:formatCode>
                <c:ptCount val="6"/>
                <c:pt idx="0">
                  <c:v>59</c:v>
                </c:pt>
                <c:pt idx="1">
                  <c:v>61</c:v>
                </c:pt>
                <c:pt idx="2">
                  <c:v>46</c:v>
                </c:pt>
                <c:pt idx="3">
                  <c:v>53</c:v>
                </c:pt>
                <c:pt idx="4">
                  <c:v>50</c:v>
                </c:pt>
                <c:pt idx="5">
                  <c:v>43</c:v>
                </c:pt>
              </c:numCache>
            </c:numRef>
          </c:val>
          <c:extLst>
            <c:ext xmlns:c16="http://schemas.microsoft.com/office/drawing/2014/chart" uri="{C3380CC4-5D6E-409C-BE32-E72D297353CC}">
              <c16:uniqueId val="{00000002-3A0B-4E43-9746-95212F24F36E}"/>
            </c:ext>
          </c:extLst>
        </c:ser>
        <c:dLbls>
          <c:showLegendKey val="0"/>
          <c:showVal val="0"/>
          <c:showCatName val="0"/>
          <c:showSerName val="0"/>
          <c:showPercent val="0"/>
          <c:showBubbleSize val="0"/>
        </c:dLbls>
        <c:gapWidth val="182"/>
        <c:axId val="1885844095"/>
        <c:axId val="1974792863"/>
      </c:barChart>
      <c:catAx>
        <c:axId val="188584409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74792863"/>
        <c:crosses val="autoZero"/>
        <c:auto val="1"/>
        <c:lblAlgn val="ctr"/>
        <c:lblOffset val="100"/>
        <c:noMultiLvlLbl val="0"/>
      </c:catAx>
      <c:valAx>
        <c:axId val="197479286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8584409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[Employee_Salary_Analysis.xlsx]Average Salary by Department!PivotTable1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Average</a:t>
            </a:r>
            <a:r>
              <a:rPr lang="en-US" b="1" baseline="0">
                <a:solidFill>
                  <a:schemeClr val="tx2"/>
                </a:solidFill>
              </a:rPr>
              <a:t> Salary</a:t>
            </a:r>
            <a:r>
              <a:rPr lang="en-US" b="1">
                <a:solidFill>
                  <a:schemeClr val="tx2"/>
                </a:solidFill>
              </a:rPr>
              <a:t> by Department</a:t>
            </a:r>
          </a:p>
        </c:rich>
      </c:tx>
      <c:layout>
        <c:manualLayout>
          <c:xMode val="edge"/>
          <c:yMode val="edge"/>
          <c:x val="0.360548556430446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s>
    <c:plotArea>
      <c:layout/>
      <c:barChart>
        <c:barDir val="col"/>
        <c:grouping val="clustered"/>
        <c:varyColors val="0"/>
        <c:ser>
          <c:idx val="0"/>
          <c:order val="0"/>
          <c:tx>
            <c:strRef>
              <c:f>'Average Salary by Department'!$B$3</c:f>
              <c:strCache>
                <c:ptCount val="1"/>
                <c:pt idx="0">
                  <c:v>Total</c:v>
                </c:pt>
              </c:strCache>
            </c:strRef>
          </c:tx>
          <c:spPr>
            <a:solidFill>
              <a:schemeClr val="accent4"/>
            </a:solidFill>
            <a:ln>
              <a:noFill/>
            </a:ln>
            <a:effectLst/>
          </c:spPr>
          <c:invertIfNegative val="0"/>
          <c:cat>
            <c:strRef>
              <c:f>'Average Salary by Department'!$A$4:$A$10</c:f>
              <c:strCache>
                <c:ptCount val="6"/>
                <c:pt idx="0">
                  <c:v>Finance</c:v>
                </c:pt>
                <c:pt idx="1">
                  <c:v>IT</c:v>
                </c:pt>
                <c:pt idx="2">
                  <c:v>Operations</c:v>
                </c:pt>
                <c:pt idx="3">
                  <c:v>Sales</c:v>
                </c:pt>
                <c:pt idx="4">
                  <c:v>HR</c:v>
                </c:pt>
                <c:pt idx="5">
                  <c:v>Marketing</c:v>
                </c:pt>
              </c:strCache>
            </c:strRef>
          </c:cat>
          <c:val>
            <c:numRef>
              <c:f>'Average Salary by Department'!$B$4:$B$10</c:f>
              <c:numCache>
                <c:formatCode>0</c:formatCode>
                <c:ptCount val="6"/>
                <c:pt idx="0">
                  <c:v>8154.591836734694</c:v>
                </c:pt>
                <c:pt idx="1">
                  <c:v>7882.424242424242</c:v>
                </c:pt>
                <c:pt idx="2">
                  <c:v>7568.0733944954127</c:v>
                </c:pt>
                <c:pt idx="3">
                  <c:v>7467.5789473684208</c:v>
                </c:pt>
                <c:pt idx="4">
                  <c:v>7096.4864864864867</c:v>
                </c:pt>
                <c:pt idx="5">
                  <c:v>7063.636363636364</c:v>
                </c:pt>
              </c:numCache>
            </c:numRef>
          </c:val>
          <c:extLst>
            <c:ext xmlns:c16="http://schemas.microsoft.com/office/drawing/2014/chart" uri="{C3380CC4-5D6E-409C-BE32-E72D297353CC}">
              <c16:uniqueId val="{00000000-E975-4585-835D-EFAB49888A91}"/>
            </c:ext>
          </c:extLst>
        </c:ser>
        <c:dLbls>
          <c:showLegendKey val="0"/>
          <c:showVal val="0"/>
          <c:showCatName val="0"/>
          <c:showSerName val="0"/>
          <c:showPercent val="0"/>
          <c:showBubbleSize val="0"/>
        </c:dLbls>
        <c:gapWidth val="219"/>
        <c:overlap val="-27"/>
        <c:axId val="1576451008"/>
        <c:axId val="1568555120"/>
      </c:barChart>
      <c:catAx>
        <c:axId val="15764510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68555120"/>
        <c:crosses val="autoZero"/>
        <c:auto val="1"/>
        <c:lblAlgn val="ctr"/>
        <c:lblOffset val="100"/>
        <c:noMultiLvlLbl val="0"/>
      </c:catAx>
      <c:valAx>
        <c:axId val="1568555120"/>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764510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by Education!PivotTable2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Average Salary by Education</a:t>
            </a:r>
          </a:p>
        </c:rich>
      </c:tx>
      <c:layout>
        <c:manualLayout>
          <c:xMode val="edge"/>
          <c:yMode val="edge"/>
          <c:x val="0.4116666666666666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s>
    <c:plotArea>
      <c:layout/>
      <c:barChart>
        <c:barDir val="col"/>
        <c:grouping val="clustered"/>
        <c:varyColors val="0"/>
        <c:ser>
          <c:idx val="0"/>
          <c:order val="0"/>
          <c:tx>
            <c:strRef>
              <c:f>'Average Salary by Education'!$B$3</c:f>
              <c:strCache>
                <c:ptCount val="1"/>
                <c:pt idx="0">
                  <c:v>Total</c:v>
                </c:pt>
              </c:strCache>
            </c:strRef>
          </c:tx>
          <c:spPr>
            <a:solidFill>
              <a:schemeClr val="accent2"/>
            </a:solidFill>
            <a:ln>
              <a:noFill/>
            </a:ln>
            <a:effectLst/>
          </c:spPr>
          <c:invertIfNegative val="0"/>
          <c:cat>
            <c:strRef>
              <c:f>'Average Salary by Education'!$A$4:$A$8</c:f>
              <c:strCache>
                <c:ptCount val="4"/>
                <c:pt idx="0">
                  <c:v>High School</c:v>
                </c:pt>
                <c:pt idx="1">
                  <c:v>Master's</c:v>
                </c:pt>
                <c:pt idx="2">
                  <c:v>Bachelor's</c:v>
                </c:pt>
                <c:pt idx="3">
                  <c:v>PhD</c:v>
                </c:pt>
              </c:strCache>
            </c:strRef>
          </c:cat>
          <c:val>
            <c:numRef>
              <c:f>'Average Salary by Education'!$B$4:$B$8</c:f>
              <c:numCache>
                <c:formatCode>0</c:formatCode>
                <c:ptCount val="4"/>
                <c:pt idx="0">
                  <c:v>7676.8965517241377</c:v>
                </c:pt>
                <c:pt idx="1">
                  <c:v>7631.4102564102568</c:v>
                </c:pt>
                <c:pt idx="2">
                  <c:v>7467.339449541284</c:v>
                </c:pt>
                <c:pt idx="3">
                  <c:v>7431.666666666667</c:v>
                </c:pt>
              </c:numCache>
            </c:numRef>
          </c:val>
          <c:extLst>
            <c:ext xmlns:c16="http://schemas.microsoft.com/office/drawing/2014/chart" uri="{C3380CC4-5D6E-409C-BE32-E72D297353CC}">
              <c16:uniqueId val="{00000000-FB0E-4EF4-A39A-D7189435A879}"/>
            </c:ext>
          </c:extLst>
        </c:ser>
        <c:dLbls>
          <c:showLegendKey val="0"/>
          <c:showVal val="0"/>
          <c:showCatName val="0"/>
          <c:showSerName val="0"/>
          <c:showPercent val="0"/>
          <c:showBubbleSize val="0"/>
        </c:dLbls>
        <c:gapWidth val="182"/>
        <c:axId val="641694463"/>
        <c:axId val="641691967"/>
      </c:barChart>
      <c:catAx>
        <c:axId val="64169446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41691967"/>
        <c:crosses val="autoZero"/>
        <c:auto val="1"/>
        <c:lblAlgn val="ctr"/>
        <c:lblOffset val="100"/>
        <c:noMultiLvlLbl val="0"/>
      </c:catAx>
      <c:valAx>
        <c:axId val="641691967"/>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4169446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[Employee_Salary_Analysis.xlsx]Average Salary by Experience!PivotTable1</c:name>
    <c:fmtId val="8"/>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Average Salary by Experience_Years </a:t>
            </a:r>
          </a:p>
        </c:rich>
      </c:tx>
      <c:layout>
        <c:manualLayout>
          <c:xMode val="edge"/>
          <c:yMode val="edge"/>
          <c:x val="0.3422295053432457"/>
          <c:y val="9.1571886847477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ar-EG"/>
        </a:p>
      </c:tx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pivotFmt>
      <c:pivotFmt>
        <c:idx val="11"/>
        <c:spPr>
          <a:solidFill>
            <a:schemeClr val="accent3"/>
          </a:solidFill>
          <a:ln>
            <a:noFill/>
          </a:ln>
          <a:effectLst/>
        </c:spPr>
        <c:marker>
          <c:symbol val="none"/>
        </c:marker>
      </c:pivotFmt>
      <c:pivotFmt>
        <c:idx val="12"/>
        <c:spPr>
          <a:solidFill>
            <a:schemeClr val="accent3"/>
          </a:solidFill>
          <a:ln>
            <a:noFill/>
          </a:ln>
          <a:effectLst/>
        </c:spPr>
        <c:marker>
          <c:symbol val="none"/>
        </c:marker>
      </c:pivotFmt>
    </c:pivotFmts>
    <c:plotArea>
      <c:layout/>
      <c:barChart>
        <c:barDir val="col"/>
        <c:grouping val="clustered"/>
        <c:varyColors val="0"/>
        <c:ser>
          <c:idx val="0"/>
          <c:order val="0"/>
          <c:tx>
            <c:strRef>
              <c:f>'Average Salary by Experience'!$B$3</c:f>
              <c:strCache>
                <c:ptCount val="1"/>
                <c:pt idx="0">
                  <c:v>Total</c:v>
                </c:pt>
              </c:strCache>
            </c:strRef>
          </c:tx>
          <c:spPr>
            <a:solidFill>
              <a:schemeClr val="accent3"/>
            </a:solidFill>
            <a:ln>
              <a:noFill/>
            </a:ln>
            <a:effectLst/>
          </c:spPr>
          <c:invertIfNegative val="0"/>
          <c:cat>
            <c:strRef>
              <c:f>'Average Salary by Experience'!$A$4:$A$14</c:f>
              <c:strCache>
                <c:ptCount val="10"/>
                <c:pt idx="0">
                  <c:v>40</c:v>
                </c:pt>
                <c:pt idx="1">
                  <c:v>36</c:v>
                </c:pt>
                <c:pt idx="2">
                  <c:v>39</c:v>
                </c:pt>
                <c:pt idx="3">
                  <c:v>38</c:v>
                </c:pt>
                <c:pt idx="4">
                  <c:v>37</c:v>
                </c:pt>
                <c:pt idx="5">
                  <c:v>35</c:v>
                </c:pt>
                <c:pt idx="6">
                  <c:v>34</c:v>
                </c:pt>
                <c:pt idx="7">
                  <c:v>42</c:v>
                </c:pt>
                <c:pt idx="8">
                  <c:v>33</c:v>
                </c:pt>
                <c:pt idx="9">
                  <c:v>31</c:v>
                </c:pt>
              </c:strCache>
            </c:strRef>
          </c:cat>
          <c:val>
            <c:numRef>
              <c:f>'Average Salary by Experience'!$B$4:$B$14</c:f>
              <c:numCache>
                <c:formatCode>0</c:formatCode>
                <c:ptCount val="10"/>
                <c:pt idx="0">
                  <c:v>10606</c:v>
                </c:pt>
                <c:pt idx="1">
                  <c:v>10238.571428571429</c:v>
                </c:pt>
                <c:pt idx="2">
                  <c:v>10208</c:v>
                </c:pt>
                <c:pt idx="3">
                  <c:v>9760</c:v>
                </c:pt>
                <c:pt idx="4">
                  <c:v>9660</c:v>
                </c:pt>
                <c:pt idx="5">
                  <c:v>9488.8888888888887</c:v>
                </c:pt>
                <c:pt idx="6">
                  <c:v>9475</c:v>
                </c:pt>
                <c:pt idx="7">
                  <c:v>9370</c:v>
                </c:pt>
                <c:pt idx="8">
                  <c:v>9285.78947368421</c:v>
                </c:pt>
                <c:pt idx="9">
                  <c:v>9258.75</c:v>
                </c:pt>
              </c:numCache>
            </c:numRef>
          </c:val>
          <c:extLst>
            <c:ext xmlns:c16="http://schemas.microsoft.com/office/drawing/2014/chart" uri="{C3380CC4-5D6E-409C-BE32-E72D297353CC}">
              <c16:uniqueId val="{00000000-CB9C-4FB4-94C0-C9E11007E71F}"/>
            </c:ext>
          </c:extLst>
        </c:ser>
        <c:dLbls>
          <c:showLegendKey val="0"/>
          <c:showVal val="0"/>
          <c:showCatName val="0"/>
          <c:showSerName val="0"/>
          <c:showPercent val="0"/>
          <c:showBubbleSize val="0"/>
        </c:dLbls>
        <c:gapWidth val="219"/>
        <c:overlap val="-27"/>
        <c:axId val="1882708047"/>
        <c:axId val="1882708463"/>
      </c:barChart>
      <c:catAx>
        <c:axId val="18827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82708463"/>
        <c:crosses val="autoZero"/>
        <c:auto val="1"/>
        <c:lblAlgn val="ctr"/>
        <c:lblOffset val="100"/>
        <c:noMultiLvlLbl val="0"/>
      </c:catAx>
      <c:valAx>
        <c:axId val="1882708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82708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[Employee_Salary_Analysis.xlsx]Average Salary by Job!PivotTable3</c:name>
    <c:fmtId val="8"/>
  </c:pivotSource>
  <c:chart>
    <c:title>
      <c:tx>
        <c:rich>
          <a:bodyPr rot="0" spcFirstLastPara="1" vertOverflow="ellipsis" vert="horz" wrap="square" anchor="ctr" anchorCtr="1"/>
          <a:lstStyle/>
          <a:p>
            <a:pPr>
              <a:defRPr sz="1600" b="0" i="0" u="none" strike="noStrike" kern="1200" spc="0" baseline="0">
                <a:solidFill>
                  <a:schemeClr val="tx2"/>
                </a:solidFill>
                <a:latin typeface="+mn-lt"/>
                <a:ea typeface="+mn-ea"/>
                <a:cs typeface="+mn-cs"/>
              </a:defRPr>
            </a:pPr>
            <a:r>
              <a:rPr lang="en-US" sz="1600" b="1">
                <a:solidFill>
                  <a:schemeClr val="tx2"/>
                </a:solidFill>
              </a:rPr>
              <a:t>Average</a:t>
            </a:r>
            <a:r>
              <a:rPr lang="en-US" sz="1600" b="1" baseline="0">
                <a:solidFill>
                  <a:schemeClr val="tx2"/>
                </a:solidFill>
              </a:rPr>
              <a:t> Salary</a:t>
            </a:r>
            <a:r>
              <a:rPr lang="en-US" sz="1600" b="1">
                <a:solidFill>
                  <a:schemeClr val="tx2"/>
                </a:solidFill>
              </a:rPr>
              <a:t> by Job</a:t>
            </a:r>
          </a:p>
        </c:rich>
      </c:tx>
      <c:layout>
        <c:manualLayout>
          <c:xMode val="edge"/>
          <c:yMode val="edge"/>
          <c:x val="0.48359999823254418"/>
          <c:y val="4.990522018081073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2"/>
              </a:solidFill>
              <a:latin typeface="+mn-lt"/>
              <a:ea typeface="+mn-ea"/>
              <a:cs typeface="+mn-cs"/>
            </a:defRPr>
          </a:pPr>
          <a:endParaRPr lang="ar-EG"/>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pivotFmt>
      <c:pivotFmt>
        <c:idx val="10"/>
      </c:pivotFmt>
      <c:pivotFmt>
        <c:idx val="11"/>
      </c:pivotFmt>
      <c:pivotFmt>
        <c:idx val="12"/>
      </c:pivotFmt>
      <c:pivotFmt>
        <c:idx val="13"/>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pivotFmt>
      <c:pivotFmt>
        <c:idx val="20"/>
        <c:spPr>
          <a:solidFill>
            <a:schemeClr val="accent5"/>
          </a:solidFill>
          <a:ln>
            <a:noFill/>
          </a:ln>
          <a:effectLst/>
        </c:spPr>
        <c:marker>
          <c:symbol val="none"/>
        </c:marker>
      </c:pivotFmt>
      <c:pivotFmt>
        <c:idx val="21"/>
        <c:spPr>
          <a:solidFill>
            <a:schemeClr val="accent5"/>
          </a:solidFill>
          <a:ln>
            <a:noFill/>
          </a:ln>
          <a:effectLst/>
        </c:spPr>
        <c:marker>
          <c:symbol val="none"/>
        </c:marker>
      </c:pivotFmt>
      <c:pivotFmt>
        <c:idx val="22"/>
        <c:spPr>
          <a:solidFill>
            <a:schemeClr val="accent5"/>
          </a:solidFill>
          <a:ln>
            <a:noFill/>
          </a:ln>
          <a:effectLst/>
        </c:spPr>
        <c:marker>
          <c:symbol val="none"/>
        </c:marker>
      </c:pivotFmt>
      <c:pivotFmt>
        <c:idx val="23"/>
        <c:spPr>
          <a:solidFill>
            <a:schemeClr val="accent5"/>
          </a:solidFill>
          <a:ln>
            <a:noFill/>
          </a:ln>
          <a:effectLst/>
        </c:spPr>
        <c:marker>
          <c:symbol val="none"/>
        </c:marker>
      </c:pivotFmt>
      <c:pivotFmt>
        <c:idx val="24"/>
        <c:spPr>
          <a:solidFill>
            <a:schemeClr val="accent5"/>
          </a:solidFill>
          <a:ln>
            <a:noFill/>
          </a:ln>
          <a:effectLst/>
        </c:spPr>
        <c:marker>
          <c:symbol val="none"/>
        </c:marker>
      </c:pivotFmt>
      <c:pivotFmt>
        <c:idx val="25"/>
        <c:spPr>
          <a:solidFill>
            <a:schemeClr val="accent5"/>
          </a:solidFill>
          <a:ln>
            <a:noFill/>
          </a:ln>
          <a:effectLst/>
        </c:spPr>
        <c:marker>
          <c:symbol val="none"/>
        </c:marker>
      </c:pivotFmt>
    </c:pivotFmts>
    <c:plotArea>
      <c:layout>
        <c:manualLayout>
          <c:layoutTarget val="inner"/>
          <c:xMode val="edge"/>
          <c:yMode val="edge"/>
          <c:x val="8.9482312185724264E-2"/>
          <c:y val="0.19847003499562554"/>
          <c:w val="0.81830642381823482"/>
          <c:h val="0.63384113444152801"/>
        </c:manualLayout>
      </c:layout>
      <c:barChart>
        <c:barDir val="bar"/>
        <c:grouping val="clustered"/>
        <c:varyColors val="0"/>
        <c:ser>
          <c:idx val="0"/>
          <c:order val="0"/>
          <c:tx>
            <c:strRef>
              <c:f>'Average Salary by Job'!$B$3</c:f>
              <c:strCache>
                <c:ptCount val="1"/>
                <c:pt idx="0">
                  <c:v>Total</c:v>
                </c:pt>
              </c:strCache>
            </c:strRef>
          </c:tx>
          <c:spPr>
            <a:solidFill>
              <a:schemeClr val="accent5"/>
            </a:solidFill>
            <a:ln>
              <a:noFill/>
            </a:ln>
            <a:effectLst/>
          </c:spPr>
          <c:invertIfNegative val="0"/>
          <c:cat>
            <c:strRef>
              <c:f>'Average Salary by Job'!$A$4:$A$14</c:f>
              <c:strCache>
                <c:ptCount val="10"/>
                <c:pt idx="0">
                  <c:v>Finance Manager</c:v>
                </c:pt>
                <c:pt idx="1">
                  <c:v>Account Manager</c:v>
                </c:pt>
                <c:pt idx="2">
                  <c:v>Project Manager</c:v>
                </c:pt>
                <c:pt idx="3">
                  <c:v>Operations Manager</c:v>
                </c:pt>
                <c:pt idx="4">
                  <c:v>Software Engineer</c:v>
                </c:pt>
                <c:pt idx="5">
                  <c:v>Data Analyst</c:v>
                </c:pt>
                <c:pt idx="6">
                  <c:v>HR Manager</c:v>
                </c:pt>
                <c:pt idx="7">
                  <c:v>Marketing Manager</c:v>
                </c:pt>
                <c:pt idx="8">
                  <c:v>Financial Analyst</c:v>
                </c:pt>
                <c:pt idx="9">
                  <c:v>Operations Analyst</c:v>
                </c:pt>
              </c:strCache>
            </c:strRef>
          </c:cat>
          <c:val>
            <c:numRef>
              <c:f>'Average Salary by Job'!$B$4:$B$14</c:f>
              <c:numCache>
                <c:formatCode>0</c:formatCode>
                <c:ptCount val="10"/>
                <c:pt idx="0">
                  <c:v>9486.5517241379312</c:v>
                </c:pt>
                <c:pt idx="1">
                  <c:v>8361.25</c:v>
                </c:pt>
                <c:pt idx="2">
                  <c:v>8304.545454545454</c:v>
                </c:pt>
                <c:pt idx="3">
                  <c:v>8271.3513513513517</c:v>
                </c:pt>
                <c:pt idx="4">
                  <c:v>8131.9354838709678</c:v>
                </c:pt>
                <c:pt idx="5">
                  <c:v>8093.478260869565</c:v>
                </c:pt>
                <c:pt idx="6">
                  <c:v>7964.1935483870966</c:v>
                </c:pt>
                <c:pt idx="7">
                  <c:v>7952.3076923076924</c:v>
                </c:pt>
                <c:pt idx="8">
                  <c:v>7850</c:v>
                </c:pt>
                <c:pt idx="9">
                  <c:v>7745.625</c:v>
                </c:pt>
              </c:numCache>
            </c:numRef>
          </c:val>
          <c:extLst>
            <c:ext xmlns:c16="http://schemas.microsoft.com/office/drawing/2014/chart" uri="{C3380CC4-5D6E-409C-BE32-E72D297353CC}">
              <c16:uniqueId val="{00000000-79A7-44C0-B9BA-7625C95267AE}"/>
            </c:ext>
          </c:extLst>
        </c:ser>
        <c:dLbls>
          <c:showLegendKey val="0"/>
          <c:showVal val="0"/>
          <c:showCatName val="0"/>
          <c:showSerName val="0"/>
          <c:showPercent val="0"/>
          <c:showBubbleSize val="0"/>
        </c:dLbls>
        <c:gapWidth val="219"/>
        <c:axId val="726172303"/>
        <c:axId val="726172719"/>
      </c:barChart>
      <c:catAx>
        <c:axId val="726172303"/>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26172719"/>
        <c:crosses val="autoZero"/>
        <c:auto val="1"/>
        <c:lblAlgn val="ctr"/>
        <c:lblOffset val="100"/>
        <c:noMultiLvlLbl val="0"/>
      </c:catAx>
      <c:valAx>
        <c:axId val="726172719"/>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26172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Top10 Employees!PivotTable2</c:name>
    <c:fmtId val="16"/>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Average</a:t>
            </a:r>
            <a:r>
              <a:rPr lang="en-US" sz="1600" b="1" baseline="0">
                <a:solidFill>
                  <a:schemeClr val="tx2"/>
                </a:solidFill>
              </a:rPr>
              <a:t> Salary Top10 Employees</a:t>
            </a:r>
            <a:endParaRPr lang="en-US" sz="1600" b="1">
              <a:solidFill>
                <a:schemeClr val="tx2"/>
              </a:solidFill>
            </a:endParaRPr>
          </a:p>
        </c:rich>
      </c:tx>
      <c:layout>
        <c:manualLayout>
          <c:xMode val="edge"/>
          <c:yMode val="edge"/>
          <c:x val="0.35415966754155731"/>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bar"/>
        <c:grouping val="clustered"/>
        <c:varyColors val="0"/>
        <c:ser>
          <c:idx val="0"/>
          <c:order val="0"/>
          <c:tx>
            <c:strRef>
              <c:f>'Average Salary Top10 Employees'!$B$3</c:f>
              <c:strCache>
                <c:ptCount val="1"/>
                <c:pt idx="0">
                  <c:v>Total</c:v>
                </c:pt>
              </c:strCache>
            </c:strRef>
          </c:tx>
          <c:spPr>
            <a:solidFill>
              <a:schemeClr val="accent6"/>
            </a:solidFill>
            <a:ln>
              <a:noFill/>
            </a:ln>
            <a:effectLst/>
          </c:spPr>
          <c:invertIfNegative val="0"/>
          <c:cat>
            <c:strRef>
              <c:f>'Average Salary Top10 Employees'!$A$4:$A$14</c:f>
              <c:strCache>
                <c:ptCount val="10"/>
                <c:pt idx="0">
                  <c:v>E0072</c:v>
                </c:pt>
                <c:pt idx="1">
                  <c:v>E0393</c:v>
                </c:pt>
                <c:pt idx="2">
                  <c:v>E0018</c:v>
                </c:pt>
                <c:pt idx="3">
                  <c:v>E0581</c:v>
                </c:pt>
                <c:pt idx="4">
                  <c:v>E0497</c:v>
                </c:pt>
                <c:pt idx="5">
                  <c:v>E0466</c:v>
                </c:pt>
                <c:pt idx="6">
                  <c:v>E0164</c:v>
                </c:pt>
                <c:pt idx="7">
                  <c:v>E0171</c:v>
                </c:pt>
                <c:pt idx="8">
                  <c:v>E0214</c:v>
                </c:pt>
                <c:pt idx="9">
                  <c:v>E0360</c:v>
                </c:pt>
              </c:strCache>
            </c:strRef>
          </c:cat>
          <c:val>
            <c:numRef>
              <c:f>'Average Salary Top10 Employees'!$B$4:$B$14</c:f>
              <c:numCache>
                <c:formatCode>0</c:formatCode>
                <c:ptCount val="10"/>
                <c:pt idx="0">
                  <c:v>12050</c:v>
                </c:pt>
                <c:pt idx="1">
                  <c:v>11550</c:v>
                </c:pt>
                <c:pt idx="2">
                  <c:v>11530</c:v>
                </c:pt>
                <c:pt idx="3">
                  <c:v>11340</c:v>
                </c:pt>
                <c:pt idx="4">
                  <c:v>11120</c:v>
                </c:pt>
                <c:pt idx="5">
                  <c:v>11070</c:v>
                </c:pt>
                <c:pt idx="6">
                  <c:v>11060</c:v>
                </c:pt>
                <c:pt idx="7">
                  <c:v>11030</c:v>
                </c:pt>
                <c:pt idx="8">
                  <c:v>11000</c:v>
                </c:pt>
                <c:pt idx="9">
                  <c:v>10970</c:v>
                </c:pt>
              </c:numCache>
            </c:numRef>
          </c:val>
          <c:extLst>
            <c:ext xmlns:c16="http://schemas.microsoft.com/office/drawing/2014/chart" uri="{C3380CC4-5D6E-409C-BE32-E72D297353CC}">
              <c16:uniqueId val="{00000000-0B68-4807-9C12-92C3D0D2DE5A}"/>
            </c:ext>
          </c:extLst>
        </c:ser>
        <c:dLbls>
          <c:showLegendKey val="0"/>
          <c:showVal val="0"/>
          <c:showCatName val="0"/>
          <c:showSerName val="0"/>
          <c:showPercent val="0"/>
          <c:showBubbleSize val="0"/>
        </c:dLbls>
        <c:gapWidth val="182"/>
        <c:axId val="172434431"/>
        <c:axId val="172447327"/>
      </c:barChart>
      <c:catAx>
        <c:axId val="17243443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447327"/>
        <c:crosses val="autoZero"/>
        <c:auto val="1"/>
        <c:lblAlgn val="ctr"/>
        <c:lblOffset val="100"/>
        <c:noMultiLvlLbl val="0"/>
      </c:catAx>
      <c:valAx>
        <c:axId val="172447327"/>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4344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by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Average</a:t>
            </a:r>
            <a:r>
              <a:rPr lang="en-US" b="1" baseline="0">
                <a:solidFill>
                  <a:schemeClr val="tx2"/>
                </a:solidFill>
              </a:rPr>
              <a:t> Salary</a:t>
            </a:r>
            <a:r>
              <a:rPr lang="en-US" b="1">
                <a:solidFill>
                  <a:schemeClr val="tx2"/>
                </a:solidFill>
              </a:rPr>
              <a:t> by Department</a:t>
            </a:r>
          </a:p>
        </c:rich>
      </c:tx>
      <c:layout>
        <c:manualLayout>
          <c:xMode val="edge"/>
          <c:yMode val="edge"/>
          <c:x val="0.3605485564304462"/>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'Average Salary by Department'!$B$3</c:f>
              <c:strCache>
                <c:ptCount val="1"/>
                <c:pt idx="0">
                  <c:v>Total</c:v>
                </c:pt>
              </c:strCache>
            </c:strRef>
          </c:tx>
          <c:spPr>
            <a:solidFill>
              <a:schemeClr val="accent1"/>
            </a:solidFill>
            <a:ln>
              <a:noFill/>
            </a:ln>
            <a:effectLst/>
          </c:spPr>
          <c:invertIfNegative val="0"/>
          <c:cat>
            <c:strRef>
              <c:f>'Average Salary by Department'!$A$4:$A$10</c:f>
              <c:strCache>
                <c:ptCount val="6"/>
                <c:pt idx="0">
                  <c:v>Finance</c:v>
                </c:pt>
                <c:pt idx="1">
                  <c:v>IT</c:v>
                </c:pt>
                <c:pt idx="2">
                  <c:v>Operations</c:v>
                </c:pt>
                <c:pt idx="3">
                  <c:v>Sales</c:v>
                </c:pt>
                <c:pt idx="4">
                  <c:v>HR</c:v>
                </c:pt>
                <c:pt idx="5">
                  <c:v>Marketing</c:v>
                </c:pt>
              </c:strCache>
            </c:strRef>
          </c:cat>
          <c:val>
            <c:numRef>
              <c:f>'Average Salary by Department'!$B$4:$B$10</c:f>
              <c:numCache>
                <c:formatCode>0</c:formatCode>
                <c:ptCount val="6"/>
                <c:pt idx="0">
                  <c:v>8154.591836734694</c:v>
                </c:pt>
                <c:pt idx="1">
                  <c:v>7882.424242424242</c:v>
                </c:pt>
                <c:pt idx="2">
                  <c:v>7568.0733944954127</c:v>
                </c:pt>
                <c:pt idx="3">
                  <c:v>7467.5789473684208</c:v>
                </c:pt>
                <c:pt idx="4">
                  <c:v>7096.4864864864867</c:v>
                </c:pt>
                <c:pt idx="5">
                  <c:v>7063.636363636364</c:v>
                </c:pt>
              </c:numCache>
            </c:numRef>
          </c:val>
          <c:extLst>
            <c:ext xmlns:c16="http://schemas.microsoft.com/office/drawing/2014/chart" uri="{C3380CC4-5D6E-409C-BE32-E72D297353CC}">
              <c16:uniqueId val="{00000000-24DB-45B4-9C45-940F1018B1B6}"/>
            </c:ext>
          </c:extLst>
        </c:ser>
        <c:dLbls>
          <c:showLegendKey val="0"/>
          <c:showVal val="0"/>
          <c:showCatName val="0"/>
          <c:showSerName val="0"/>
          <c:showPercent val="0"/>
          <c:showBubbleSize val="0"/>
        </c:dLbls>
        <c:gapWidth val="219"/>
        <c:overlap val="-27"/>
        <c:axId val="1576451008"/>
        <c:axId val="1568555120"/>
      </c:barChart>
      <c:catAx>
        <c:axId val="15764510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68555120"/>
        <c:crosses val="autoZero"/>
        <c:auto val="1"/>
        <c:lblAlgn val="ctr"/>
        <c:lblOffset val="100"/>
        <c:noMultiLvlLbl val="0"/>
      </c:catAx>
      <c:valAx>
        <c:axId val="1568555120"/>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7645100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Top10 Employees!PivotTable2</c:name>
    <c:fmtId val="13"/>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Average</a:t>
            </a:r>
            <a:r>
              <a:rPr lang="en-US" sz="1600" b="1" baseline="0">
                <a:solidFill>
                  <a:schemeClr val="tx2"/>
                </a:solidFill>
              </a:rPr>
              <a:t> Salary Top10 Employees</a:t>
            </a:r>
            <a:endParaRPr lang="en-US" sz="1600" b="1">
              <a:solidFill>
                <a:schemeClr val="tx2"/>
              </a:solidFill>
            </a:endParaRPr>
          </a:p>
        </c:rich>
      </c:tx>
      <c:layout>
        <c:manualLayout>
          <c:xMode val="edge"/>
          <c:yMode val="edge"/>
          <c:x val="0.35415966754155731"/>
          <c:y val="9.157188684747739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'Average Salary Top10 Employees'!$B$3</c:f>
              <c:strCache>
                <c:ptCount val="1"/>
                <c:pt idx="0">
                  <c:v>Total</c:v>
                </c:pt>
              </c:strCache>
            </c:strRef>
          </c:tx>
          <c:spPr>
            <a:solidFill>
              <a:schemeClr val="accent1"/>
            </a:solidFill>
            <a:ln>
              <a:noFill/>
            </a:ln>
            <a:effectLst/>
          </c:spPr>
          <c:invertIfNegative val="0"/>
          <c:cat>
            <c:strRef>
              <c:f>'Average Salary Top10 Employees'!$A$4:$A$14</c:f>
              <c:strCache>
                <c:ptCount val="10"/>
                <c:pt idx="0">
                  <c:v>E0072</c:v>
                </c:pt>
                <c:pt idx="1">
                  <c:v>E0393</c:v>
                </c:pt>
                <c:pt idx="2">
                  <c:v>E0018</c:v>
                </c:pt>
                <c:pt idx="3">
                  <c:v>E0581</c:v>
                </c:pt>
                <c:pt idx="4">
                  <c:v>E0497</c:v>
                </c:pt>
                <c:pt idx="5">
                  <c:v>E0466</c:v>
                </c:pt>
                <c:pt idx="6">
                  <c:v>E0164</c:v>
                </c:pt>
                <c:pt idx="7">
                  <c:v>E0171</c:v>
                </c:pt>
                <c:pt idx="8">
                  <c:v>E0214</c:v>
                </c:pt>
                <c:pt idx="9">
                  <c:v>E0360</c:v>
                </c:pt>
              </c:strCache>
            </c:strRef>
          </c:cat>
          <c:val>
            <c:numRef>
              <c:f>'Average Salary Top10 Employees'!$B$4:$B$14</c:f>
              <c:numCache>
                <c:formatCode>0</c:formatCode>
                <c:ptCount val="10"/>
                <c:pt idx="0">
                  <c:v>12050</c:v>
                </c:pt>
                <c:pt idx="1">
                  <c:v>11550</c:v>
                </c:pt>
                <c:pt idx="2">
                  <c:v>11530</c:v>
                </c:pt>
                <c:pt idx="3">
                  <c:v>11340</c:v>
                </c:pt>
                <c:pt idx="4">
                  <c:v>11120</c:v>
                </c:pt>
                <c:pt idx="5">
                  <c:v>11070</c:v>
                </c:pt>
                <c:pt idx="6">
                  <c:v>11060</c:v>
                </c:pt>
                <c:pt idx="7">
                  <c:v>11030</c:v>
                </c:pt>
                <c:pt idx="8">
                  <c:v>11000</c:v>
                </c:pt>
                <c:pt idx="9">
                  <c:v>10970</c:v>
                </c:pt>
              </c:numCache>
            </c:numRef>
          </c:val>
          <c:extLst>
            <c:ext xmlns:c16="http://schemas.microsoft.com/office/drawing/2014/chart" uri="{C3380CC4-5D6E-409C-BE32-E72D297353CC}">
              <c16:uniqueId val="{00000000-D8E6-44EB-A0ED-A27B1AE47623}"/>
            </c:ext>
          </c:extLst>
        </c:ser>
        <c:dLbls>
          <c:showLegendKey val="0"/>
          <c:showVal val="0"/>
          <c:showCatName val="0"/>
          <c:showSerName val="0"/>
          <c:showPercent val="0"/>
          <c:showBubbleSize val="0"/>
        </c:dLbls>
        <c:gapWidth val="182"/>
        <c:axId val="172434431"/>
        <c:axId val="172447327"/>
      </c:barChart>
      <c:catAx>
        <c:axId val="17243443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447327"/>
        <c:crosses val="autoZero"/>
        <c:auto val="1"/>
        <c:lblAlgn val="ctr"/>
        <c:lblOffset val="100"/>
        <c:noMultiLvlLbl val="0"/>
      </c:catAx>
      <c:valAx>
        <c:axId val="172447327"/>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4344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by Experience!PivotTable1</c:name>
    <c:fmtId val="0"/>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Average Salary by Experience_Years </a:t>
            </a:r>
          </a:p>
        </c:rich>
      </c:tx>
      <c:layout>
        <c:manualLayout>
          <c:xMode val="edge"/>
          <c:yMode val="edge"/>
          <c:x val="0.3422295053432457"/>
          <c:y val="9.1571886847477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ar-EG"/>
        </a:p>
      </c:tx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'Average Salary by Experience'!$B$3</c:f>
              <c:strCache>
                <c:ptCount val="1"/>
                <c:pt idx="0">
                  <c:v>Total</c:v>
                </c:pt>
              </c:strCache>
            </c:strRef>
          </c:tx>
          <c:spPr>
            <a:solidFill>
              <a:schemeClr val="accent1"/>
            </a:solidFill>
            <a:ln>
              <a:noFill/>
            </a:ln>
            <a:effectLst/>
          </c:spPr>
          <c:invertIfNegative val="0"/>
          <c:cat>
            <c:strRef>
              <c:f>'Average Salary by Experience'!$A$4:$A$14</c:f>
              <c:strCache>
                <c:ptCount val="10"/>
                <c:pt idx="0">
                  <c:v>40</c:v>
                </c:pt>
                <c:pt idx="1">
                  <c:v>36</c:v>
                </c:pt>
                <c:pt idx="2">
                  <c:v>39</c:v>
                </c:pt>
                <c:pt idx="3">
                  <c:v>38</c:v>
                </c:pt>
                <c:pt idx="4">
                  <c:v>37</c:v>
                </c:pt>
                <c:pt idx="5">
                  <c:v>35</c:v>
                </c:pt>
                <c:pt idx="6">
                  <c:v>34</c:v>
                </c:pt>
                <c:pt idx="7">
                  <c:v>42</c:v>
                </c:pt>
                <c:pt idx="8">
                  <c:v>33</c:v>
                </c:pt>
                <c:pt idx="9">
                  <c:v>31</c:v>
                </c:pt>
              </c:strCache>
            </c:strRef>
          </c:cat>
          <c:val>
            <c:numRef>
              <c:f>'Average Salary by Experience'!$B$4:$B$14</c:f>
              <c:numCache>
                <c:formatCode>0</c:formatCode>
                <c:ptCount val="10"/>
                <c:pt idx="0">
                  <c:v>10606</c:v>
                </c:pt>
                <c:pt idx="1">
                  <c:v>10238.571428571429</c:v>
                </c:pt>
                <c:pt idx="2">
                  <c:v>10208</c:v>
                </c:pt>
                <c:pt idx="3">
                  <c:v>9760</c:v>
                </c:pt>
                <c:pt idx="4">
                  <c:v>9660</c:v>
                </c:pt>
                <c:pt idx="5">
                  <c:v>9488.8888888888887</c:v>
                </c:pt>
                <c:pt idx="6">
                  <c:v>9475</c:v>
                </c:pt>
                <c:pt idx="7">
                  <c:v>9370</c:v>
                </c:pt>
                <c:pt idx="8">
                  <c:v>9285.78947368421</c:v>
                </c:pt>
                <c:pt idx="9">
                  <c:v>9258.75</c:v>
                </c:pt>
              </c:numCache>
            </c:numRef>
          </c:val>
          <c:extLst>
            <c:ext xmlns:c16="http://schemas.microsoft.com/office/drawing/2014/chart" uri="{C3380CC4-5D6E-409C-BE32-E72D297353CC}">
              <c16:uniqueId val="{0000000C-4707-45FF-ACC3-993A897A6EFA}"/>
            </c:ext>
          </c:extLst>
        </c:ser>
        <c:dLbls>
          <c:showLegendKey val="0"/>
          <c:showVal val="0"/>
          <c:showCatName val="0"/>
          <c:showSerName val="0"/>
          <c:showPercent val="0"/>
          <c:showBubbleSize val="0"/>
        </c:dLbls>
        <c:gapWidth val="219"/>
        <c:overlap val="-27"/>
        <c:axId val="1882708047"/>
        <c:axId val="1882708463"/>
      </c:barChart>
      <c:catAx>
        <c:axId val="18827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82708463"/>
        <c:crosses val="autoZero"/>
        <c:auto val="1"/>
        <c:lblAlgn val="ctr"/>
        <c:lblOffset val="100"/>
        <c:noMultiLvlLbl val="0"/>
      </c:catAx>
      <c:valAx>
        <c:axId val="1882708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82708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by Education!PivotTable2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Average Salary by Education</a:t>
            </a:r>
          </a:p>
        </c:rich>
      </c:tx>
      <c:layout>
        <c:manualLayout>
          <c:xMode val="edge"/>
          <c:yMode val="edge"/>
          <c:x val="0.4116666666666666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'Average Salary by Education'!$B$3</c:f>
              <c:strCache>
                <c:ptCount val="1"/>
                <c:pt idx="0">
                  <c:v>Total</c:v>
                </c:pt>
              </c:strCache>
            </c:strRef>
          </c:tx>
          <c:spPr>
            <a:solidFill>
              <a:schemeClr val="accent1"/>
            </a:solidFill>
            <a:ln>
              <a:noFill/>
            </a:ln>
            <a:effectLst/>
          </c:spPr>
          <c:invertIfNegative val="0"/>
          <c:cat>
            <c:strRef>
              <c:f>'Average Salary by Education'!$A$4:$A$8</c:f>
              <c:strCache>
                <c:ptCount val="4"/>
                <c:pt idx="0">
                  <c:v>High School</c:v>
                </c:pt>
                <c:pt idx="1">
                  <c:v>Master's</c:v>
                </c:pt>
                <c:pt idx="2">
                  <c:v>Bachelor's</c:v>
                </c:pt>
                <c:pt idx="3">
                  <c:v>PhD</c:v>
                </c:pt>
              </c:strCache>
            </c:strRef>
          </c:cat>
          <c:val>
            <c:numRef>
              <c:f>'Average Salary by Education'!$B$4:$B$8</c:f>
              <c:numCache>
                <c:formatCode>0</c:formatCode>
                <c:ptCount val="4"/>
                <c:pt idx="0">
                  <c:v>7676.8965517241377</c:v>
                </c:pt>
                <c:pt idx="1">
                  <c:v>7631.4102564102568</c:v>
                </c:pt>
                <c:pt idx="2">
                  <c:v>7467.339449541284</c:v>
                </c:pt>
                <c:pt idx="3">
                  <c:v>7431.666666666667</c:v>
                </c:pt>
              </c:numCache>
            </c:numRef>
          </c:val>
          <c:extLst>
            <c:ext xmlns:c16="http://schemas.microsoft.com/office/drawing/2014/chart" uri="{C3380CC4-5D6E-409C-BE32-E72D297353CC}">
              <c16:uniqueId val="{00000000-A264-4BBE-B692-1B1E5526F8EF}"/>
            </c:ext>
          </c:extLst>
        </c:ser>
        <c:dLbls>
          <c:showLegendKey val="0"/>
          <c:showVal val="0"/>
          <c:showCatName val="0"/>
          <c:showSerName val="0"/>
          <c:showPercent val="0"/>
          <c:showBubbleSize val="0"/>
        </c:dLbls>
        <c:gapWidth val="182"/>
        <c:axId val="641694463"/>
        <c:axId val="641691967"/>
      </c:barChart>
      <c:catAx>
        <c:axId val="64169446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41691967"/>
        <c:crosses val="autoZero"/>
        <c:auto val="1"/>
        <c:lblAlgn val="ctr"/>
        <c:lblOffset val="100"/>
        <c:noMultiLvlLbl val="0"/>
      </c:catAx>
      <c:valAx>
        <c:axId val="641691967"/>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4169446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[Employee_Salary_Analysis.xlsx]Average Salary by Job!PivotTable3</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Average</a:t>
            </a:r>
            <a:r>
              <a:rPr lang="en-US" sz="1600" b="1" baseline="0">
                <a:solidFill>
                  <a:schemeClr val="accent1"/>
                </a:solidFill>
              </a:rPr>
              <a:t> Salary</a:t>
            </a:r>
            <a:r>
              <a:rPr lang="en-US" sz="1600" b="1">
                <a:solidFill>
                  <a:schemeClr val="accent1"/>
                </a:solidFill>
              </a:rPr>
              <a:t> by Job</a:t>
            </a:r>
          </a:p>
        </c:rich>
      </c:tx>
      <c:layout>
        <c:manualLayout>
          <c:xMode val="edge"/>
          <c:yMode val="edge"/>
          <c:x val="0.48359999823254418"/>
          <c:y val="4.990522018081073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pivotFmt>
      <c:pivotFmt>
        <c:idx val="10"/>
      </c:pivotFmt>
      <c:pivotFmt>
        <c:idx val="11"/>
      </c:pivotFmt>
      <c:pivotFmt>
        <c:idx val="12"/>
      </c:pivotFmt>
      <c:pivotFmt>
        <c:idx val="13"/>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s>
    <c:plotArea>
      <c:layout>
        <c:manualLayout>
          <c:layoutTarget val="inner"/>
          <c:xMode val="edge"/>
          <c:yMode val="edge"/>
          <c:x val="8.9482312185724264E-2"/>
          <c:y val="0.19847003499562554"/>
          <c:w val="0.81830642381823482"/>
          <c:h val="0.63384113444152801"/>
        </c:manualLayout>
      </c:layout>
      <c:barChart>
        <c:barDir val="bar"/>
        <c:grouping val="clustered"/>
        <c:varyColors val="0"/>
        <c:ser>
          <c:idx val="0"/>
          <c:order val="0"/>
          <c:tx>
            <c:strRef>
              <c:f>'Average Salary by Job'!$B$3</c:f>
              <c:strCache>
                <c:ptCount val="1"/>
                <c:pt idx="0">
                  <c:v>Total</c:v>
                </c:pt>
              </c:strCache>
            </c:strRef>
          </c:tx>
          <c:spPr>
            <a:solidFill>
              <a:schemeClr val="accent1"/>
            </a:solidFill>
            <a:ln>
              <a:noFill/>
            </a:ln>
            <a:effectLst/>
          </c:spPr>
          <c:invertIfNegative val="0"/>
          <c:cat>
            <c:strRef>
              <c:f>'Average Salary by Job'!$A$4:$A$14</c:f>
              <c:strCache>
                <c:ptCount val="10"/>
                <c:pt idx="0">
                  <c:v>Finance Manager</c:v>
                </c:pt>
                <c:pt idx="1">
                  <c:v>Account Manager</c:v>
                </c:pt>
                <c:pt idx="2">
                  <c:v>Project Manager</c:v>
                </c:pt>
                <c:pt idx="3">
                  <c:v>Operations Manager</c:v>
                </c:pt>
                <c:pt idx="4">
                  <c:v>Software Engineer</c:v>
                </c:pt>
                <c:pt idx="5">
                  <c:v>Data Analyst</c:v>
                </c:pt>
                <c:pt idx="6">
                  <c:v>HR Manager</c:v>
                </c:pt>
                <c:pt idx="7">
                  <c:v>Marketing Manager</c:v>
                </c:pt>
                <c:pt idx="8">
                  <c:v>Financial Analyst</c:v>
                </c:pt>
                <c:pt idx="9">
                  <c:v>Operations Analyst</c:v>
                </c:pt>
              </c:strCache>
            </c:strRef>
          </c:cat>
          <c:val>
            <c:numRef>
              <c:f>'Average Salary by Job'!$B$4:$B$14</c:f>
              <c:numCache>
                <c:formatCode>0</c:formatCode>
                <c:ptCount val="10"/>
                <c:pt idx="0">
                  <c:v>9486.5517241379312</c:v>
                </c:pt>
                <c:pt idx="1">
                  <c:v>8361.25</c:v>
                </c:pt>
                <c:pt idx="2">
                  <c:v>8304.545454545454</c:v>
                </c:pt>
                <c:pt idx="3">
                  <c:v>8271.3513513513517</c:v>
                </c:pt>
                <c:pt idx="4">
                  <c:v>8131.9354838709678</c:v>
                </c:pt>
                <c:pt idx="5">
                  <c:v>8093.478260869565</c:v>
                </c:pt>
                <c:pt idx="6">
                  <c:v>7964.1935483870966</c:v>
                </c:pt>
                <c:pt idx="7">
                  <c:v>7952.3076923076924</c:v>
                </c:pt>
                <c:pt idx="8">
                  <c:v>7850</c:v>
                </c:pt>
                <c:pt idx="9">
                  <c:v>7745.625</c:v>
                </c:pt>
              </c:numCache>
            </c:numRef>
          </c:val>
          <c:extLst>
            <c:ext xmlns:c16="http://schemas.microsoft.com/office/drawing/2014/chart" uri="{C3380CC4-5D6E-409C-BE32-E72D297353CC}">
              <c16:uniqueId val="{00000004-544B-4C98-BCD4-759D8BF41F63}"/>
            </c:ext>
          </c:extLst>
        </c:ser>
        <c:dLbls>
          <c:showLegendKey val="0"/>
          <c:showVal val="0"/>
          <c:showCatName val="0"/>
          <c:showSerName val="0"/>
          <c:showPercent val="0"/>
          <c:showBubbleSize val="0"/>
        </c:dLbls>
        <c:gapWidth val="219"/>
        <c:axId val="726172303"/>
        <c:axId val="726172719"/>
      </c:barChart>
      <c:catAx>
        <c:axId val="726172303"/>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26172719"/>
        <c:crosses val="autoZero"/>
        <c:auto val="1"/>
        <c:lblAlgn val="ctr"/>
        <c:lblOffset val="100"/>
        <c:noMultiLvlLbl val="0"/>
      </c:catAx>
      <c:valAx>
        <c:axId val="726172719"/>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26172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[Employee_Salary_Analysis.xlsx]Gender by Department!PivotTable1</c:name>
    <c:fmtId val="0"/>
  </c:pivotSource>
  <c:chart>
    <c:title>
      <c:tx>
        <c:rich>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r>
              <a:rPr lang="en-US" sz="1600" b="1">
                <a:solidFill>
                  <a:schemeClr val="accent1"/>
                </a:solidFill>
              </a:rPr>
              <a:t>Gender</a:t>
            </a:r>
            <a:r>
              <a:rPr lang="en-US" sz="1600" b="1" baseline="0">
                <a:solidFill>
                  <a:schemeClr val="accent1"/>
                </a:solidFill>
              </a:rPr>
              <a:t> by Department</a:t>
            </a:r>
            <a:endParaRPr lang="en-US" sz="1600" b="1">
              <a:solidFill>
                <a:schemeClr val="accent1"/>
              </a:solidFill>
            </a:endParaRPr>
          </a:p>
        </c:rich>
      </c:tx>
      <c:layout>
        <c:manualLayout>
          <c:xMode val="edge"/>
          <c:yMode val="edge"/>
          <c:x val="0.42920122484689416"/>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8405555555555556"/>
          <c:y val="0.21194225721784776"/>
          <c:w val="0.62443263342082245"/>
          <c:h val="0.6836213181685622"/>
        </c:manualLayout>
      </c:layout>
      <c:barChart>
        <c:barDir val="bar"/>
        <c:grouping val="clustered"/>
        <c:varyColors val="0"/>
        <c:ser>
          <c:idx val="0"/>
          <c:order val="0"/>
          <c:tx>
            <c:strRef>
              <c:f>'Gender by Department'!$B$3:$B$4</c:f>
              <c:strCache>
                <c:ptCount val="1"/>
                <c:pt idx="0">
                  <c:v>Female</c:v>
                </c:pt>
              </c:strCache>
            </c:strRef>
          </c:tx>
          <c:spPr>
            <a:solidFill>
              <a:schemeClr val="accent1"/>
            </a:solidFill>
            <a:ln>
              <a:noFill/>
            </a:ln>
            <a:effectLst/>
          </c:spPr>
          <c:invertIfNegative val="0"/>
          <c:cat>
            <c:strRef>
              <c:f>'Gender by Department'!$A$5:$A$11</c:f>
              <c:strCache>
                <c:ptCount val="6"/>
                <c:pt idx="0">
                  <c:v>HR</c:v>
                </c:pt>
                <c:pt idx="1">
                  <c:v>Operations</c:v>
                </c:pt>
                <c:pt idx="2">
                  <c:v>IT</c:v>
                </c:pt>
                <c:pt idx="3">
                  <c:v>Finance</c:v>
                </c:pt>
                <c:pt idx="4">
                  <c:v>Sales</c:v>
                </c:pt>
                <c:pt idx="5">
                  <c:v>Marketing</c:v>
                </c:pt>
              </c:strCache>
            </c:strRef>
          </c:cat>
          <c:val>
            <c:numRef>
              <c:f>'Gender by Department'!$B$5:$B$11</c:f>
              <c:numCache>
                <c:formatCode>General</c:formatCode>
                <c:ptCount val="6"/>
                <c:pt idx="0">
                  <c:v>52</c:v>
                </c:pt>
                <c:pt idx="1">
                  <c:v>48</c:v>
                </c:pt>
                <c:pt idx="2">
                  <c:v>53</c:v>
                </c:pt>
                <c:pt idx="3">
                  <c:v>45</c:v>
                </c:pt>
                <c:pt idx="4">
                  <c:v>45</c:v>
                </c:pt>
                <c:pt idx="5">
                  <c:v>45</c:v>
                </c:pt>
              </c:numCache>
            </c:numRef>
          </c:val>
          <c:extLst>
            <c:ext xmlns:c16="http://schemas.microsoft.com/office/drawing/2014/chart" uri="{C3380CC4-5D6E-409C-BE32-E72D297353CC}">
              <c16:uniqueId val="{00000000-5602-46AC-9988-69D4EFD67D0C}"/>
            </c:ext>
          </c:extLst>
        </c:ser>
        <c:ser>
          <c:idx val="1"/>
          <c:order val="1"/>
          <c:tx>
            <c:strRef>
              <c:f>'Gender by Department'!$C$3:$C$4</c:f>
              <c:strCache>
                <c:ptCount val="1"/>
                <c:pt idx="0">
                  <c:v>Male</c:v>
                </c:pt>
              </c:strCache>
            </c:strRef>
          </c:tx>
          <c:spPr>
            <a:solidFill>
              <a:schemeClr val="accent2"/>
            </a:solidFill>
            <a:ln>
              <a:noFill/>
            </a:ln>
            <a:effectLst/>
          </c:spPr>
          <c:invertIfNegative val="0"/>
          <c:cat>
            <c:strRef>
              <c:f>'Gender by Department'!$A$5:$A$11</c:f>
              <c:strCache>
                <c:ptCount val="6"/>
                <c:pt idx="0">
                  <c:v>HR</c:v>
                </c:pt>
                <c:pt idx="1">
                  <c:v>Operations</c:v>
                </c:pt>
                <c:pt idx="2">
                  <c:v>IT</c:v>
                </c:pt>
                <c:pt idx="3">
                  <c:v>Finance</c:v>
                </c:pt>
                <c:pt idx="4">
                  <c:v>Sales</c:v>
                </c:pt>
                <c:pt idx="5">
                  <c:v>Marketing</c:v>
                </c:pt>
              </c:strCache>
            </c:strRef>
          </c:cat>
          <c:val>
            <c:numRef>
              <c:f>'Gender by Department'!$C$5:$C$11</c:f>
              <c:numCache>
                <c:formatCode>General</c:formatCode>
                <c:ptCount val="6"/>
                <c:pt idx="0">
                  <c:v>59</c:v>
                </c:pt>
                <c:pt idx="1">
                  <c:v>61</c:v>
                </c:pt>
                <c:pt idx="2">
                  <c:v>46</c:v>
                </c:pt>
                <c:pt idx="3">
                  <c:v>53</c:v>
                </c:pt>
                <c:pt idx="4">
                  <c:v>50</c:v>
                </c:pt>
                <c:pt idx="5">
                  <c:v>43</c:v>
                </c:pt>
              </c:numCache>
            </c:numRef>
          </c:val>
          <c:extLst>
            <c:ext xmlns:c16="http://schemas.microsoft.com/office/drawing/2014/chart" uri="{C3380CC4-5D6E-409C-BE32-E72D297353CC}">
              <c16:uniqueId val="{00000002-5602-46AC-9988-69D4EFD67D0C}"/>
            </c:ext>
          </c:extLst>
        </c:ser>
        <c:dLbls>
          <c:showLegendKey val="0"/>
          <c:showVal val="0"/>
          <c:showCatName val="0"/>
          <c:showSerName val="0"/>
          <c:showPercent val="0"/>
          <c:showBubbleSize val="0"/>
        </c:dLbls>
        <c:gapWidth val="182"/>
        <c:axId val="1885844095"/>
        <c:axId val="1974792863"/>
      </c:barChart>
      <c:catAx>
        <c:axId val="188584409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74792863"/>
        <c:crosses val="autoZero"/>
        <c:auto val="1"/>
        <c:lblAlgn val="ctr"/>
        <c:lblOffset val="100"/>
        <c:noMultiLvlLbl val="0"/>
      </c:catAx>
      <c:valAx>
        <c:axId val="197479286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8584409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21773</xdr:colOff>
      <xdr:row>32</xdr:row>
      <xdr:rowOff>0</xdr:rowOff>
    </xdr:from>
    <xdr:to>
      <xdr:col>10</xdr:col>
      <xdr:colOff>21771</xdr:colOff>
      <xdr:row>48</xdr:row>
      <xdr:rowOff>206829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805542</xdr:colOff>
      <xdr:row>10</xdr:row>
      <xdr:rowOff>0</xdr:rowOff>
    </xdr:from>
    <xdr:to>
      <xdr:col>20</xdr:col>
      <xdr:colOff>664028</xdr:colOff>
      <xdr:row>28</xdr:row>
      <xdr:rowOff>195942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805542</xdr:colOff>
      <xdr:row>32</xdr:row>
      <xdr:rowOff>0</xdr:rowOff>
    </xdr:from>
    <xdr:to>
      <xdr:col>20</xdr:col>
      <xdr:colOff>664028</xdr:colOff>
      <xdr:row>48</xdr:row>
      <xdr:rowOff>206829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10</xdr:row>
      <xdr:rowOff>0</xdr:rowOff>
    </xdr:from>
    <xdr:to>
      <xdr:col>10</xdr:col>
      <xdr:colOff>21771</xdr:colOff>
      <xdr:row>28</xdr:row>
      <xdr:rowOff>206828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141513</xdr:colOff>
      <xdr:row>52</xdr:row>
      <xdr:rowOff>0</xdr:rowOff>
    </xdr:from>
    <xdr:to>
      <xdr:col>10</xdr:col>
      <xdr:colOff>0</xdr:colOff>
      <xdr:row>68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52</xdr:row>
      <xdr:rowOff>0</xdr:rowOff>
    </xdr:from>
    <xdr:to>
      <xdr:col>21</xdr:col>
      <xdr:colOff>0</xdr:colOff>
      <xdr:row>67</xdr:row>
      <xdr:rowOff>195943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6627</xdr:colOff>
      <xdr:row>4</xdr:row>
      <xdr:rowOff>174404</xdr:rowOff>
    </xdr:from>
    <xdr:to>
      <xdr:col>13</xdr:col>
      <xdr:colOff>0</xdr:colOff>
      <xdr:row>51</xdr:row>
      <xdr:rowOff>166254</xdr:rowOff>
    </xdr:to>
    <xdr:grpSp>
      <xdr:nvGrpSpPr>
        <xdr:cNvPr id="20" name="Group 19"/>
        <xdr:cNvGrpSpPr/>
      </xdr:nvGrpSpPr>
      <xdr:grpSpPr>
        <a:xfrm>
          <a:off x="6627" y="883064"/>
          <a:ext cx="10280373" cy="8236690"/>
          <a:chOff x="6627" y="894840"/>
          <a:chExt cx="10218028" cy="8456978"/>
        </a:xfrm>
      </xdr:grpSpPr>
      <xdr:graphicFrame macro="">
        <xdr:nvGraphicFramePr>
          <xdr:cNvPr id="7" name="Chart 6"/>
          <xdr:cNvGraphicFramePr>
            <a:graphicFrameLocks/>
          </xdr:cNvGraphicFramePr>
        </xdr:nvGraphicFramePr>
        <xdr:xfrm>
          <a:off x="5627716" y="6506787"/>
          <a:ext cx="4596939" cy="2815937"/>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8" name="Group 7"/>
          <xdr:cNvGrpSpPr/>
        </xdr:nvGrpSpPr>
        <xdr:grpSpPr>
          <a:xfrm>
            <a:off x="6627" y="905966"/>
            <a:ext cx="1323409" cy="6189188"/>
            <a:chOff x="9159240" y="182880"/>
            <a:chExt cx="1836420" cy="5928361"/>
          </a:xfrm>
        </xdr:grpSpPr>
        <mc:AlternateContent xmlns:mc="http://schemas.openxmlformats.org/markup-compatibility/2006" xmlns:a14="http://schemas.microsoft.com/office/drawing/2010/main">
          <mc:Choice Requires="a14">
            <xdr:graphicFrame macro="">
              <xdr:nvGraphicFramePr>
                <xdr:cNvPr id="9" name="Department 1"/>
                <xdr:cNvGraphicFramePr/>
              </xdr:nvGraphicFramePr>
              <xdr:xfrm>
                <a:off x="9159240" y="182880"/>
                <a:ext cx="1828800" cy="200405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627" y="905966"/>
                  <a:ext cx="1317918" cy="209223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Gender 1"/>
                <xdr:cNvGraphicFramePr/>
              </xdr:nvGraphicFramePr>
              <xdr:xfrm>
                <a:off x="9159240" y="2179321"/>
                <a:ext cx="1828800" cy="89154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627" y="2990243"/>
                  <a:ext cx="1317918" cy="93076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Experience_Years 1"/>
                <xdr:cNvGraphicFramePr/>
              </xdr:nvGraphicFramePr>
              <xdr:xfrm>
                <a:off x="9166860" y="3070861"/>
                <a:ext cx="1828800" cy="1386840"/>
              </xdr:xfrm>
              <a:graphic>
                <a:graphicData uri="http://schemas.microsoft.com/office/drawing/2010/slicer">
                  <sle:slicer xmlns:sle="http://schemas.microsoft.com/office/drawing/2010/slicer" name="Experience_Years 1"/>
                </a:graphicData>
              </a:graphic>
            </xdr:graphicFrame>
          </mc:Choice>
          <mc:Fallback xmlns="">
            <xdr:sp macro="" textlink="">
              <xdr:nvSpPr>
                <xdr:cNvPr id="0" name=""/>
                <xdr:cNvSpPr>
                  <a:spLocks noTextEdit="1"/>
                </xdr:cNvSpPr>
              </xdr:nvSpPr>
              <xdr:spPr>
                <a:xfrm>
                  <a:off x="12118" y="3921008"/>
                  <a:ext cx="1317918" cy="144785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Performance_Rating 1"/>
                <xdr:cNvGraphicFramePr/>
              </xdr:nvGraphicFramePr>
              <xdr:xfrm>
                <a:off x="9166860" y="4450081"/>
                <a:ext cx="1828800" cy="1661160"/>
              </xdr:xfrm>
              <a:graphic>
                <a:graphicData uri="http://schemas.microsoft.com/office/drawing/2010/slicer">
                  <sle:slicer xmlns:sle="http://schemas.microsoft.com/office/drawing/2010/slicer" name="Performance_Rating 1"/>
                </a:graphicData>
              </a:graphic>
            </xdr:graphicFrame>
          </mc:Choice>
          <mc:Fallback xmlns="">
            <xdr:sp macro="" textlink="">
              <xdr:nvSpPr>
                <xdr:cNvPr id="0" name=""/>
                <xdr:cNvSpPr>
                  <a:spLocks noTextEdit="1"/>
                </xdr:cNvSpPr>
              </xdr:nvSpPr>
              <xdr:spPr>
                <a:xfrm>
                  <a:off x="12118" y="5360909"/>
                  <a:ext cx="1317918" cy="173424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3" name="Chart 12"/>
          <xdr:cNvGraphicFramePr>
            <a:graphicFrameLocks/>
          </xdr:cNvGraphicFramePr>
        </xdr:nvGraphicFramePr>
        <xdr:xfrm>
          <a:off x="1319441" y="900545"/>
          <a:ext cx="4299566" cy="283226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5" name="Chart 14"/>
          <xdr:cNvGraphicFramePr>
            <a:graphicFrameLocks/>
          </xdr:cNvGraphicFramePr>
        </xdr:nvGraphicFramePr>
        <xdr:xfrm>
          <a:off x="5627716" y="3731722"/>
          <a:ext cx="4587240" cy="279030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6" name="Chart 15"/>
          <xdr:cNvGraphicFramePr>
            <a:graphicFrameLocks/>
          </xdr:cNvGraphicFramePr>
        </xdr:nvGraphicFramePr>
        <xdr:xfrm>
          <a:off x="1323697" y="3735531"/>
          <a:ext cx="4311639" cy="277220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xdr:cNvGraphicFramePr>
            <a:graphicFrameLocks/>
          </xdr:cNvGraphicFramePr>
        </xdr:nvGraphicFramePr>
        <xdr:xfrm>
          <a:off x="5637983" y="894840"/>
          <a:ext cx="4558962" cy="284588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xdr:cNvGraphicFramePr>
            <a:graphicFrameLocks/>
          </xdr:cNvGraphicFramePr>
        </xdr:nvGraphicFramePr>
        <xdr:xfrm>
          <a:off x="1330037" y="6497782"/>
          <a:ext cx="4322618" cy="285403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171450</xdr:rowOff>
    </xdr:from>
    <xdr:to>
      <xdr:col>3</xdr:col>
      <xdr:colOff>495300</xdr:colOff>
      <xdr:row>25</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129540</xdr:colOff>
      <xdr:row>8</xdr:row>
      <xdr:rowOff>34290</xdr:rowOff>
    </xdr:from>
    <xdr:to>
      <xdr:col>14</xdr:col>
      <xdr:colOff>358140</xdr:colOff>
      <xdr:row>23</xdr:row>
      <xdr:rowOff>148590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12</xdr:row>
      <xdr:rowOff>171450</xdr:rowOff>
    </xdr:from>
    <xdr:to>
      <xdr:col>25</xdr:col>
      <xdr:colOff>22860</xdr:colOff>
      <xdr:row>28</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10</xdr:row>
      <xdr:rowOff>11430</xdr:rowOff>
    </xdr:from>
    <xdr:to>
      <xdr:col>4</xdr:col>
      <xdr:colOff>350520</xdr:colOff>
      <xdr:row>25</xdr:row>
      <xdr:rowOff>125730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217170</xdr:colOff>
      <xdr:row>11</xdr:row>
      <xdr:rowOff>125730</xdr:rowOff>
    </xdr:from>
    <xdr:to>
      <xdr:col>12</xdr:col>
      <xdr:colOff>163830</xdr:colOff>
      <xdr:row>27</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121920</xdr:colOff>
      <xdr:row>8</xdr:row>
      <xdr:rowOff>34290</xdr:rowOff>
    </xdr:from>
    <xdr:to>
      <xdr:col>7</xdr:col>
      <xdr:colOff>220980</xdr:colOff>
      <xdr:row>23</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662940</xdr:colOff>
      <xdr:row>1</xdr:row>
      <xdr:rowOff>7620</xdr:rowOff>
    </xdr:from>
    <xdr:to>
      <xdr:col>10</xdr:col>
      <xdr:colOff>487680</xdr:colOff>
      <xdr:row>34</xdr:row>
      <xdr:rowOff>152401</xdr:rowOff>
    </xdr:to>
    <xdr:grpSp>
      <xdr:nvGrpSpPr>
        <xdr:cNvPr id="7" name="Group 6"/>
        <xdr:cNvGrpSpPr/>
      </xdr:nvGrpSpPr>
      <xdr:grpSpPr>
        <a:xfrm>
          <a:off x="9159240" y="182880"/>
          <a:ext cx="1836420" cy="5928361"/>
          <a:chOff x="9159240" y="182880"/>
          <a:chExt cx="1836420" cy="5928361"/>
        </a:xfrm>
      </xdr:grpSpPr>
      <mc:AlternateContent xmlns:mc="http://schemas.openxmlformats.org/markup-compatibility/2006" xmlns:a14="http://schemas.microsoft.com/office/drawing/2010/main">
        <mc:Choice Requires="a14">
          <xdr:graphicFrame macro="">
            <xdr:nvGraphicFramePr>
              <xdr:cNvPr id="3" name="Department"/>
              <xdr:cNvGraphicFramePr/>
            </xdr:nvGraphicFramePr>
            <xdr:xfrm>
              <a:off x="9159240" y="182880"/>
              <a:ext cx="1828800" cy="2004059"/>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159240" y="182880"/>
                <a:ext cx="1828800" cy="200405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Gender"/>
              <xdr:cNvGraphicFramePr/>
            </xdr:nvGraphicFramePr>
            <xdr:xfrm>
              <a:off x="9159240" y="2179321"/>
              <a:ext cx="1828800" cy="89154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59240" y="2179321"/>
                <a:ext cx="1828800" cy="8915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Experience_Years"/>
              <xdr:cNvGraphicFramePr/>
            </xdr:nvGraphicFramePr>
            <xdr:xfrm>
              <a:off x="9166860" y="3070861"/>
              <a:ext cx="1828800" cy="1386840"/>
            </xdr:xfrm>
            <a:graphic>
              <a:graphicData uri="http://schemas.microsoft.com/office/drawing/2010/slicer">
                <sle:slicer xmlns:sle="http://schemas.microsoft.com/office/drawing/2010/slicer" name="Experience_Years"/>
              </a:graphicData>
            </a:graphic>
          </xdr:graphicFrame>
        </mc:Choice>
        <mc:Fallback xmlns="">
          <xdr:sp macro="" textlink="">
            <xdr:nvSpPr>
              <xdr:cNvPr id="0" name=""/>
              <xdr:cNvSpPr>
                <a:spLocks noTextEdit="1"/>
              </xdr:cNvSpPr>
            </xdr:nvSpPr>
            <xdr:spPr>
              <a:xfrm>
                <a:off x="9166860" y="3070861"/>
                <a:ext cx="1828800" cy="13868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Performance_Rating"/>
              <xdr:cNvGraphicFramePr/>
            </xdr:nvGraphicFramePr>
            <xdr:xfrm>
              <a:off x="9166860" y="4450081"/>
              <a:ext cx="1828800" cy="166116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9166860" y="4450081"/>
                <a:ext cx="1828800" cy="16611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hmed awwad" refreshedDate="46277.432045486108" createdVersion="6" refreshedVersion="6" minRefreshableVersion="3" recordCount="600">
  <cacheSource type="worksheet">
    <worksheetSource name="CleanData"/>
  </cacheSource>
  <cacheFields count="12">
    <cacheField name="Employee_ID" numFmtId="0">
      <sharedItems count="600">
        <s v="E0072"/>
        <s v="E0393"/>
        <s v="E0018"/>
        <s v="E0581"/>
        <s v="E0497"/>
        <s v="E0466"/>
        <s v="E0164"/>
        <s v="E0171"/>
        <s v="E0214"/>
        <s v="E0360"/>
        <s v="E0260"/>
        <s v="E0221"/>
        <s v="E0571"/>
        <s v="E0082"/>
        <s v="E0044"/>
        <s v="E0124"/>
        <s v="E0568"/>
        <s v="E0080"/>
        <s v="E0451"/>
        <s v="E0271"/>
        <s v="E0029"/>
        <s v="E0039"/>
        <s v="E0230"/>
        <s v="E0194"/>
        <s v="E0418"/>
        <s v="E0030"/>
        <s v="E0108"/>
        <s v="E0127"/>
        <s v="E0526"/>
        <s v="E0244"/>
        <s v="E0471"/>
        <s v="E0534"/>
        <s v="E0091"/>
        <s v="E0006"/>
        <s v="E0547"/>
        <s v="E0317"/>
        <s v="E0465"/>
        <s v="E0401"/>
        <s v="E0026"/>
        <s v="E0312"/>
        <s v="E0009"/>
        <s v="E0576"/>
        <s v="E0273"/>
        <s v="E0364"/>
        <s v="E0371"/>
        <s v="E0485"/>
        <s v="E0243"/>
        <s v="E0246"/>
        <s v="E0255"/>
        <s v="E0362"/>
        <s v="E0042"/>
        <s v="E0322"/>
        <s v="E0142"/>
        <s v="E0066"/>
        <s v="E0094"/>
        <s v="E0473"/>
        <s v="E0218"/>
        <s v="E0329"/>
        <s v="E0421"/>
        <s v="E0584"/>
        <s v="E0226"/>
        <s v="E0095"/>
        <s v="E0100"/>
        <s v="E0264"/>
        <s v="E0429"/>
        <s v="E0054"/>
        <s v="E0574"/>
        <s v="E0336"/>
        <s v="E0123"/>
        <s v="E0146"/>
        <s v="E0303"/>
        <s v="E0600"/>
        <s v="E0521"/>
        <s v="E0208"/>
        <s v="E0187"/>
        <s v="E0192"/>
        <s v="E0597"/>
        <s v="E0121"/>
        <s v="E0296"/>
        <s v="E0081"/>
        <s v="E0365"/>
        <s v="E0157"/>
        <s v="E0391"/>
        <s v="E0447"/>
        <s v="E0369"/>
        <s v="E0515"/>
        <s v="E0555"/>
        <s v="E0407"/>
        <s v="E0051"/>
        <s v="E0060"/>
        <s v="E0311"/>
        <s v="E0361"/>
        <s v="E0477"/>
        <s v="E0097"/>
        <s v="E0103"/>
        <s v="E0161"/>
        <s v="E0046"/>
        <s v="E0231"/>
        <s v="E0290"/>
        <s v="E0470"/>
        <s v="E0024"/>
        <s v="E0079"/>
        <s v="E0136"/>
        <s v="E0516"/>
        <s v="E0321"/>
        <s v="E0189"/>
        <s v="E0351"/>
        <s v="E0254"/>
        <s v="E0041"/>
        <s v="E0297"/>
        <s v="E0143"/>
        <s v="E0238"/>
        <s v="E0301"/>
        <s v="E0073"/>
        <s v="E0204"/>
        <s v="E0313"/>
        <s v="E0431"/>
        <s v="E0533"/>
        <s v="E0486"/>
        <s v="E0354"/>
        <s v="E0240"/>
        <s v="E0467"/>
        <s v="E0258"/>
        <s v="E0487"/>
        <s v="E0518"/>
        <s v="E0564"/>
        <s v="E0112"/>
        <s v="E0217"/>
        <s v="E0002"/>
        <s v="E0420"/>
        <s v="E0592"/>
        <s v="E0101"/>
        <s v="E0116"/>
        <s v="E0440"/>
        <s v="E0450"/>
        <s v="E0036"/>
        <s v="E0275"/>
        <s v="E0309"/>
        <s v="E0110"/>
        <s v="E0182"/>
        <s v="E0530"/>
        <s v="E0022"/>
        <s v="E0196"/>
        <s v="E0200"/>
        <s v="E0105"/>
        <s v="E0179"/>
        <s v="E0572"/>
        <s v="E0482"/>
        <s v="E0111"/>
        <s v="E0459"/>
        <s v="E0524"/>
        <s v="E0038"/>
        <s v="E0399"/>
        <s v="E0154"/>
        <s v="E0235"/>
        <s v="E0289"/>
        <s v="E0374"/>
        <s v="E0536"/>
        <s v="E0166"/>
        <s v="E0202"/>
        <s v="E0278"/>
        <s v="E0503"/>
        <s v="E0086"/>
        <s v="E0053"/>
        <s v="E0498"/>
        <s v="E0537"/>
        <s v="E0071"/>
        <s v="E0272"/>
        <s v="E0306"/>
        <s v="E0023"/>
        <s v="E0490"/>
        <s v="E0201"/>
        <s v="E0118"/>
        <s v="E0299"/>
        <s v="E0031"/>
        <s v="E0279"/>
        <s v="E0481"/>
        <s v="E0557"/>
        <s v="E0566"/>
        <s v="E0050"/>
        <s v="E0176"/>
        <s v="E0040"/>
        <s v="E0376"/>
        <s v="E0560"/>
        <s v="E0096"/>
        <s v="E0424"/>
        <s v="E0408"/>
        <s v="E0132"/>
        <s v="E0443"/>
        <s v="E0484"/>
        <s v="E0550"/>
        <s v="E0551"/>
        <s v="E0267"/>
        <s v="E0346"/>
        <s v="E0337"/>
        <s v="E0395"/>
        <s v="E0434"/>
        <s v="E0495"/>
        <s v="E0067"/>
        <s v="E0099"/>
        <s v="E0058"/>
        <s v="E0438"/>
        <s v="E0236"/>
        <s v="E0340"/>
        <s v="E0419"/>
        <s v="E0583"/>
        <s v="E0248"/>
        <s v="E0113"/>
        <s v="E0504"/>
        <s v="E0083"/>
        <s v="E0016"/>
        <s v="E0178"/>
        <s v="E0458"/>
        <s v="E0519"/>
        <s v="E0017"/>
        <s v="E0247"/>
        <s v="E0283"/>
        <s v="E0427"/>
        <s v="E0282"/>
        <s v="E0575"/>
        <s v="E0206"/>
        <s v="E0242"/>
        <s v="E0453"/>
        <s v="E0008"/>
        <s v="E0049"/>
        <s v="E0300"/>
        <s v="E0380"/>
        <s v="E0219"/>
        <s v="E0319"/>
        <s v="E0210"/>
        <s v="E0595"/>
        <s v="E0077"/>
        <s v="E0308"/>
        <s v="E0324"/>
        <s v="E0330"/>
        <s v="E0076"/>
        <s v="E0252"/>
        <s v="E0165"/>
        <s v="E0265"/>
        <s v="E0527"/>
        <s v="E0213"/>
        <s v="E0339"/>
        <s v="E0428"/>
        <s v="E0478"/>
        <s v="E0545"/>
        <s v="E0032"/>
        <s v="E0098"/>
        <s v="E0546"/>
        <s v="E0109"/>
        <s v="E0011"/>
        <s v="E0349"/>
        <s v="E0225"/>
        <s v="E0326"/>
        <s v="E0567"/>
        <s v="E0500"/>
        <s v="E0047"/>
        <s v="E0092"/>
        <s v="E0190"/>
        <s v="E0460"/>
        <s v="E0019"/>
        <s v="E0454"/>
        <s v="E0034"/>
        <s v="E0513"/>
        <s v="E0483"/>
        <s v="E0220"/>
        <s v="E0093"/>
        <s v="E0205"/>
        <s v="E0422"/>
        <s v="E0159"/>
        <s v="E0245"/>
        <s v="E0366"/>
        <s v="E0579"/>
        <s v="E0455"/>
        <s v="E0233"/>
        <s v="E0285"/>
        <s v="E0538"/>
        <s v="E0562"/>
        <s v="E0131"/>
        <s v="E0078"/>
        <s v="E0414"/>
        <s v="E0305"/>
        <s v="E0409"/>
        <s v="E0464"/>
        <s v="E0037"/>
        <s v="E0197"/>
        <s v="E0368"/>
        <s v="E0390"/>
        <s v="E0508"/>
        <s v="E0224"/>
        <s v="E0501"/>
        <s v="E0069"/>
        <s v="E0074"/>
        <s v="E0249"/>
        <s v="E0052"/>
        <s v="E0383"/>
        <s v="E0423"/>
        <s v="E0286"/>
        <s v="E0509"/>
        <s v="E0104"/>
        <s v="E0266"/>
        <s v="E0412"/>
        <s v="E0510"/>
        <s v="E0167"/>
        <s v="E0215"/>
        <s v="E0188"/>
        <s v="E0363"/>
        <s v="E0348"/>
        <s v="E0318"/>
        <s v="E0120"/>
        <s v="E0128"/>
        <s v="E0138"/>
        <s v="E0140"/>
        <s v="E0417"/>
        <s v="E0511"/>
        <s v="E0012"/>
        <s v="E0207"/>
        <s v="E0523"/>
        <s v="E0377"/>
        <s v="E0542"/>
        <s v="E0119"/>
        <s v="E0357"/>
        <s v="E0090"/>
        <s v="E0437"/>
        <s v="E0468"/>
        <s v="E0191"/>
        <s v="E0316"/>
        <s v="E0436"/>
        <s v="E0457"/>
        <s v="E0580"/>
        <s v="E0442"/>
        <s v="E0334"/>
        <s v="E0020"/>
        <s v="E0452"/>
        <s v="E0591"/>
        <s v="E0307"/>
        <s v="E0061"/>
        <s v="E0262"/>
        <s v="E0396"/>
        <s v="E0177"/>
        <s v="E0491"/>
        <s v="E0203"/>
        <s v="E0413"/>
        <s v="E0558"/>
        <s v="E0554"/>
        <s v="E0139"/>
        <s v="E0426"/>
        <s v="E0059"/>
        <s v="E0359"/>
        <s v="E0425"/>
        <s v="E0517"/>
        <s v="E0589"/>
        <s v="E0007"/>
        <s v="E0115"/>
        <s v="E0241"/>
        <s v="E0035"/>
        <s v="E0250"/>
        <s v="E0578"/>
        <s v="E0335"/>
        <s v="E0168"/>
        <s v="E0212"/>
        <s v="E0535"/>
        <s v="E0342"/>
        <s v="E0293"/>
        <s v="E0338"/>
        <s v="E0055"/>
        <s v="E0063"/>
        <s v="E0163"/>
        <s v="E0539"/>
        <s v="E0587"/>
        <s v="E0586"/>
        <s v="E0228"/>
        <s v="E0388"/>
        <s v="E0506"/>
        <s v="E0269"/>
        <s v="E0150"/>
        <s v="E0277"/>
        <s v="E0502"/>
        <s v="E0153"/>
        <s v="E0129"/>
        <s v="E0352"/>
        <s v="E0184"/>
        <s v="E0529"/>
        <s v="E0549"/>
        <s v="E0433"/>
        <s v="E0347"/>
        <s v="E0563"/>
        <s v="E0398"/>
        <s v="E0463"/>
        <s v="E0505"/>
        <s v="E0520"/>
        <s v="E0183"/>
        <s v="E0528"/>
        <s v="E0152"/>
        <s v="E0155"/>
        <s v="E0375"/>
        <s v="E0328"/>
        <s v="E0397"/>
        <s v="E0125"/>
        <s v="E0598"/>
        <s v="E0144"/>
        <s v="E0180"/>
        <s v="E0372"/>
        <s v="E0596"/>
        <s v="E0162"/>
        <s v="E0186"/>
        <s v="E0494"/>
        <s v="E0525"/>
        <s v="E0147"/>
        <s v="E0070"/>
        <s v="E0332"/>
        <s v="E0432"/>
        <s v="E0137"/>
        <s v="E0107"/>
        <s v="E0173"/>
        <s v="E0033"/>
        <s v="E0114"/>
        <s v="E0251"/>
        <s v="E0489"/>
        <s v="E0181"/>
        <s v="E0134"/>
        <s v="E0479"/>
        <s v="E0087"/>
        <s v="E0298"/>
        <s v="E0404"/>
        <s v="E0585"/>
        <s v="E0461"/>
        <s v="E0133"/>
        <s v="E0170"/>
        <s v="E0439"/>
        <s v="E0327"/>
        <s v="E0350"/>
        <s v="E0302"/>
        <s v="E0013"/>
        <s v="E0174"/>
        <s v="E0062"/>
        <s v="E0276"/>
        <s v="E0343"/>
        <s v="E0156"/>
        <s v="E0411"/>
        <s v="E0512"/>
        <s v="E0057"/>
        <s v="E0160"/>
        <s v="E0227"/>
        <s v="E0385"/>
        <s v="E0021"/>
        <s v="E0010"/>
        <s v="E0379"/>
        <s v="E0102"/>
        <s v="E0405"/>
        <s v="E0068"/>
        <s v="E0291"/>
        <s v="E0410"/>
        <s v="E0222"/>
        <s v="E0344"/>
        <s v="E0561"/>
        <s v="E0577"/>
        <s v="E0268"/>
        <s v="E0193"/>
        <s v="E0492"/>
        <s v="E0430"/>
        <s v="E0590"/>
        <s v="E0253"/>
        <s v="E0345"/>
        <s v="E0001"/>
        <s v="E0084"/>
        <s v="E0402"/>
        <s v="E0552"/>
        <s v="E0259"/>
        <s v="E0514"/>
        <s v="E0570"/>
        <s v="E0148"/>
        <s v="E0353"/>
        <s v="E0304"/>
        <s v="E0323"/>
        <s v="E0223"/>
        <s v="E0015"/>
        <s v="E0135"/>
        <s v="E0446"/>
        <s v="E0288"/>
        <s v="E0475"/>
        <s v="E0469"/>
        <s v="E0532"/>
        <s v="E0065"/>
        <s v="E0573"/>
        <s v="E0445"/>
        <s v="E0499"/>
        <s v="E0025"/>
        <s v="E0237"/>
        <s v="E0594"/>
        <s v="E0075"/>
        <s v="E0403"/>
        <s v="E0472"/>
        <s v="E0370"/>
        <s v="E0198"/>
        <s v="E0261"/>
        <s v="E0356"/>
        <s v="E0122"/>
        <s v="E0211"/>
        <s v="E0281"/>
        <s v="E0004"/>
        <s v="E0493"/>
        <s v="E0541"/>
        <s v="E0229"/>
        <s v="E0270"/>
        <s v="E0367"/>
        <s v="E0543"/>
        <s v="E0295"/>
        <s v="E0548"/>
        <s v="E0496"/>
        <s v="E0553"/>
        <s v="E0234"/>
        <s v="E0444"/>
        <s v="E0474"/>
        <s v="E0544"/>
        <s v="E0209"/>
        <s v="E0416"/>
        <s v="E0239"/>
        <s v="E0314"/>
        <s v="E0358"/>
        <s v="E0435"/>
        <s v="E0294"/>
        <s v="E0263"/>
        <s v="E0341"/>
        <s v="E0559"/>
        <s v="E0141"/>
        <s v="E0441"/>
        <s v="E0565"/>
        <s v="E0172"/>
        <s v="E0199"/>
        <s v="E0089"/>
        <s v="E0117"/>
        <s v="E0522"/>
        <s v="E0556"/>
        <s v="E0355"/>
        <s v="E0488"/>
        <s v="E0149"/>
        <s v="E0130"/>
        <s v="E0531"/>
        <s v="E0027"/>
        <s v="E0392"/>
        <s v="E0232"/>
        <s v="E0449"/>
        <s v="E0014"/>
        <s v="E0195"/>
        <s v="E0175"/>
        <s v="E0540"/>
        <s v="E0315"/>
        <s v="E0382"/>
        <s v="E0310"/>
        <s v="E0400"/>
        <s v="E0415"/>
        <s v="E0274"/>
        <s v="E0158"/>
        <s v="E0088"/>
        <s v="E0588"/>
        <s v="E0216"/>
        <s v="E0373"/>
        <s v="E0569"/>
        <s v="E0145"/>
        <s v="E0126"/>
        <s v="E0394"/>
        <s v="E0284"/>
        <s v="E0048"/>
        <s v="E0381"/>
        <s v="E0406"/>
        <s v="E0320"/>
        <s v="E0331"/>
        <s v="E0448"/>
        <s v="E0384"/>
        <s v="E0045"/>
        <s v="E0257"/>
        <s v="E0325"/>
        <s v="E0064"/>
        <s v="E0599"/>
        <s v="E0387"/>
        <s v="E0389"/>
        <s v="E0028"/>
        <s v="E0280"/>
        <s v="E0287"/>
        <s v="E0256"/>
        <s v="E0151"/>
        <s v="E0169"/>
        <s v="E0456"/>
        <s v="E0185"/>
        <s v="E0386"/>
        <s v="E0106"/>
        <s v="E0333"/>
        <s v="E0043"/>
        <s v="E0476"/>
        <s v="E0593"/>
        <s v="E0003"/>
        <s v="E0378"/>
        <s v="E0507"/>
        <s v="E0056"/>
        <s v="E0085"/>
        <s v="E0582"/>
        <s v="E0292"/>
        <s v="E0480"/>
        <s v="E0005"/>
        <s v="E0462"/>
      </sharedItems>
    </cacheField>
    <cacheField name="Department" numFmtId="0">
      <sharedItems count="6">
        <s v="Finance"/>
        <s v="IT"/>
        <s v="Operations"/>
        <s v="Sales"/>
        <s v="Marketing"/>
        <s v="HR"/>
      </sharedItems>
    </cacheField>
    <cacheField name="Job_Role" numFmtId="0">
      <sharedItems count="19">
        <s v="Finance Manager"/>
        <s v="Project Manager"/>
        <s v="Data Analyst"/>
        <s v="Operations Manager"/>
        <s v="Account Manager"/>
        <s v="Marketing Manager"/>
        <s v="Digital Marketer"/>
        <s v="HR Manager"/>
        <s v="Financial Analyst"/>
        <s v="Software Engineer"/>
        <s v="Sales Manager"/>
        <s v="Operations Analyst"/>
        <s v="Marketing Specialist"/>
        <s v="IT Support"/>
        <s v="HR Specialist"/>
        <s v="Recruiter"/>
        <s v="Accountant"/>
        <s v="Sales Representative"/>
        <s v="Operations Specialist"/>
      </sharedItems>
    </cacheField>
    <cacheField name="Gender" numFmtId="0">
      <sharedItems count="2">
        <s v="Female"/>
        <s v="Male"/>
      </sharedItems>
    </cacheField>
    <cacheField name="Age" numFmtId="0">
      <sharedItems containsSemiMixedTypes="0" containsString="0" containsNumber="1" containsInteger="1" minValue="21" maxValue="60"/>
    </cacheField>
    <cacheField name="Education" numFmtId="0">
      <sharedItems count="4">
        <s v="Bachelor's"/>
        <s v="Master's"/>
        <s v="High School"/>
        <s v="PhD"/>
      </sharedItems>
    </cacheField>
    <cacheField name="Years_At_Company" numFmtId="0">
      <sharedItems containsSemiMixedTypes="0" containsString="0" containsNumber="1" containsInteger="1" minValue="0" maxValue="15" count="16">
        <n v="5"/>
        <n v="14"/>
        <n v="15"/>
        <n v="7"/>
        <n v="2"/>
        <n v="13"/>
        <n v="6"/>
        <n v="12"/>
        <n v="10"/>
        <n v="9"/>
        <n v="11"/>
        <n v="1"/>
        <n v="0"/>
        <n v="4"/>
        <n v="8"/>
        <n v="3"/>
      </sharedItems>
    </cacheField>
    <cacheField name="Experience_Years" numFmtId="0">
      <sharedItems containsSemiMixedTypes="0" containsString="0" containsNumber="1" containsInteger="1" minValue="0" maxValue="42" count="42">
        <n v="40"/>
        <n v="36"/>
        <n v="30"/>
        <n v="35"/>
        <n v="33"/>
        <n v="34"/>
        <n v="39"/>
        <n v="37"/>
        <n v="28"/>
        <n v="29"/>
        <n v="38"/>
        <n v="32"/>
        <n v="17"/>
        <n v="31"/>
        <n v="25"/>
        <n v="26"/>
        <n v="24"/>
        <n v="19"/>
        <n v="18"/>
        <n v="27"/>
        <n v="21"/>
        <n v="22"/>
        <n v="23"/>
        <n v="16"/>
        <n v="42"/>
        <n v="20"/>
        <n v="15"/>
        <n v="13"/>
        <n v="9"/>
        <n v="14"/>
        <n v="5"/>
        <n v="12"/>
        <n v="10"/>
        <n v="8"/>
        <n v="11"/>
        <n v="4"/>
        <n v="7"/>
        <n v="1"/>
        <n v="2"/>
        <n v="0"/>
        <n v="6"/>
        <n v="3"/>
      </sharedItems>
    </cacheField>
    <cacheField name="Monthly_Salary" numFmtId="0">
      <sharedItems containsSemiMixedTypes="0" containsString="0" containsNumber="1" containsInteger="1" minValue="3820" maxValue="12050" count="387">
        <n v="12050"/>
        <n v="11550"/>
        <n v="11530"/>
        <n v="11340"/>
        <n v="11120"/>
        <n v="11070"/>
        <n v="11060"/>
        <n v="11030"/>
        <n v="11000"/>
        <n v="10970"/>
        <n v="10880"/>
        <n v="10860"/>
        <n v="10840"/>
        <n v="10800"/>
        <n v="10790"/>
        <n v="10740"/>
        <n v="10720"/>
        <n v="10590"/>
        <n v="10560"/>
        <n v="10510"/>
        <n v="10480"/>
        <n v="10440"/>
        <n v="10430"/>
        <n v="10400"/>
        <n v="10300"/>
        <n v="10260"/>
        <n v="10240"/>
        <n v="10220"/>
        <n v="10170"/>
        <n v="10150"/>
        <n v="10100"/>
        <n v="10080"/>
        <n v="10060"/>
        <n v="10050"/>
        <n v="10040"/>
        <n v="10030"/>
        <n v="10020"/>
        <n v="10010"/>
        <n v="10000"/>
        <n v="9950"/>
        <n v="9920"/>
        <n v="9880"/>
        <n v="9870"/>
        <n v="9860"/>
        <n v="9840"/>
        <n v="9820"/>
        <n v="9810"/>
        <n v="9800"/>
        <n v="9770"/>
        <n v="9700"/>
        <n v="9690"/>
        <n v="9660"/>
        <n v="9650"/>
        <n v="9630"/>
        <n v="9620"/>
        <n v="9610"/>
        <n v="9570"/>
        <n v="9550"/>
        <n v="9540"/>
        <n v="9520"/>
        <n v="9510"/>
        <n v="9490"/>
        <n v="9480"/>
        <n v="9460"/>
        <n v="9440"/>
        <n v="9420"/>
        <n v="9400"/>
        <n v="9390"/>
        <n v="9370"/>
        <n v="9360"/>
        <n v="9350"/>
        <n v="9340"/>
        <n v="9330"/>
        <n v="9320"/>
        <n v="9310"/>
        <n v="9300"/>
        <n v="9290"/>
        <n v="9270"/>
        <n v="9260"/>
        <n v="9240"/>
        <n v="9220"/>
        <n v="9200"/>
        <n v="9190"/>
        <n v="9180"/>
        <n v="9170"/>
        <n v="9160"/>
        <n v="9150"/>
        <n v="9140"/>
        <n v="9120"/>
        <n v="9110"/>
        <n v="9090"/>
        <n v="9080"/>
        <n v="9070"/>
        <n v="9060"/>
        <n v="9050"/>
        <n v="9030"/>
        <n v="9010"/>
        <n v="9000"/>
        <n v="8990"/>
        <n v="8970"/>
        <n v="8960"/>
        <n v="8950"/>
        <n v="8930"/>
        <n v="8920"/>
        <n v="8910"/>
        <n v="8870"/>
        <n v="8860"/>
        <n v="8840"/>
        <n v="8830"/>
        <n v="8800"/>
        <n v="8790"/>
        <n v="8780"/>
        <n v="8770"/>
        <n v="8710"/>
        <n v="8680"/>
        <n v="8650"/>
        <n v="8640"/>
        <n v="8630"/>
        <n v="8610"/>
        <n v="8600"/>
        <n v="8590"/>
        <n v="8550"/>
        <n v="8540"/>
        <n v="8520"/>
        <n v="8510"/>
        <n v="8500"/>
        <n v="8490"/>
        <n v="8460"/>
        <n v="8430"/>
        <n v="8400"/>
        <n v="8390"/>
        <n v="8370"/>
        <n v="8360"/>
        <n v="8350"/>
        <n v="8340"/>
        <n v="8330"/>
        <n v="8320"/>
        <n v="8310"/>
        <n v="8300"/>
        <n v="8290"/>
        <n v="8270"/>
        <n v="8260"/>
        <n v="8250"/>
        <n v="8210"/>
        <n v="8200"/>
        <n v="8190"/>
        <n v="8180"/>
        <n v="8170"/>
        <n v="8160"/>
        <n v="8150"/>
        <n v="8130"/>
        <n v="8100"/>
        <n v="8090"/>
        <n v="8080"/>
        <n v="8050"/>
        <n v="8030"/>
        <n v="8020"/>
        <n v="8000"/>
        <n v="7990"/>
        <n v="7980"/>
        <n v="7970"/>
        <n v="7960"/>
        <n v="7950"/>
        <n v="7940"/>
        <n v="7920"/>
        <n v="7910"/>
        <n v="7900"/>
        <n v="7870"/>
        <n v="7850"/>
        <n v="7840"/>
        <n v="7830"/>
        <n v="7810"/>
        <n v="7800"/>
        <n v="7780"/>
        <n v="7770"/>
        <n v="7760"/>
        <n v="7750"/>
        <n v="7740"/>
        <n v="7730"/>
        <n v="7720"/>
        <n v="7710"/>
        <n v="7700"/>
        <n v="7690"/>
        <n v="7670"/>
        <n v="7660"/>
        <n v="7650"/>
        <n v="7620"/>
        <n v="7610"/>
        <n v="7600"/>
        <n v="7590"/>
        <n v="7580"/>
        <n v="7570"/>
        <n v="7560"/>
        <n v="7540"/>
        <n v="7530"/>
        <n v="7520"/>
        <n v="7510"/>
        <n v="7500"/>
        <n v="7490"/>
        <n v="7480"/>
        <n v="7470"/>
        <n v="7460"/>
        <n v="7450"/>
        <n v="7440"/>
        <n v="7430"/>
        <n v="7390"/>
        <n v="7380"/>
        <n v="7360"/>
        <n v="7340"/>
        <n v="7310"/>
        <n v="7300"/>
        <n v="7290"/>
        <n v="7280"/>
        <n v="7270"/>
        <n v="7260"/>
        <n v="7250"/>
        <n v="7240"/>
        <n v="7210"/>
        <n v="7190"/>
        <n v="7180"/>
        <n v="7160"/>
        <n v="7150"/>
        <n v="7140"/>
        <n v="7120"/>
        <n v="7100"/>
        <n v="7080"/>
        <n v="7070"/>
        <n v="7060"/>
        <n v="7050"/>
        <n v="7040"/>
        <n v="7030"/>
        <n v="7020"/>
        <n v="7010"/>
        <n v="7000"/>
        <n v="6980"/>
        <n v="6970"/>
        <n v="6960"/>
        <n v="6950"/>
        <n v="6940"/>
        <n v="6930"/>
        <n v="6920"/>
        <n v="6900"/>
        <n v="6890"/>
        <n v="6880"/>
        <n v="6870"/>
        <n v="6830"/>
        <n v="6820"/>
        <n v="6810"/>
        <n v="6800"/>
        <n v="6790"/>
        <n v="6780"/>
        <n v="6760"/>
        <n v="6750"/>
        <n v="6740"/>
        <n v="6730"/>
        <n v="6720"/>
        <n v="6700"/>
        <n v="6680"/>
        <n v="6670"/>
        <n v="6650"/>
        <n v="6630"/>
        <n v="6620"/>
        <n v="6590"/>
        <n v="6570"/>
        <n v="6560"/>
        <n v="6550"/>
        <n v="6530"/>
        <n v="6520"/>
        <n v="6500"/>
        <n v="6490"/>
        <n v="6480"/>
        <n v="6470"/>
        <n v="6430"/>
        <n v="6420"/>
        <n v="6410"/>
        <n v="6370"/>
        <n v="6360"/>
        <n v="6350"/>
        <n v="6340"/>
        <n v="6300"/>
        <n v="6290"/>
        <n v="6280"/>
        <n v="6260"/>
        <n v="6250"/>
        <n v="6200"/>
        <n v="6190"/>
        <n v="6180"/>
        <n v="6170"/>
        <n v="6160"/>
        <n v="6140"/>
        <n v="6120"/>
        <n v="6110"/>
        <n v="6100"/>
        <n v="6070"/>
        <n v="6050"/>
        <n v="6010"/>
        <n v="6000"/>
        <n v="5990"/>
        <n v="5980"/>
        <n v="5960"/>
        <n v="5940"/>
        <n v="5930"/>
        <n v="5920"/>
        <n v="5910"/>
        <n v="5890"/>
        <n v="5870"/>
        <n v="5840"/>
        <n v="5830"/>
        <n v="5820"/>
        <n v="5800"/>
        <n v="5790"/>
        <n v="5770"/>
        <n v="5760"/>
        <n v="5740"/>
        <n v="5730"/>
        <n v="5720"/>
        <n v="5690"/>
        <n v="5670"/>
        <n v="5660"/>
        <n v="5650"/>
        <n v="5640"/>
        <n v="5620"/>
        <n v="5610"/>
        <n v="5570"/>
        <n v="5560"/>
        <n v="5550"/>
        <n v="5530"/>
        <n v="5520"/>
        <n v="5510"/>
        <n v="5500"/>
        <n v="5480"/>
        <n v="5470"/>
        <n v="5460"/>
        <n v="5450"/>
        <n v="5430"/>
        <n v="5410"/>
        <n v="5390"/>
        <n v="5380"/>
        <n v="5350"/>
        <n v="5330"/>
        <n v="5290"/>
        <n v="5260"/>
        <n v="5240"/>
        <n v="5170"/>
        <n v="5150"/>
        <n v="5130"/>
        <n v="5100"/>
        <n v="5080"/>
        <n v="5070"/>
        <n v="5050"/>
        <n v="5030"/>
        <n v="5010"/>
        <n v="4980"/>
        <n v="4960"/>
        <n v="4940"/>
        <n v="4860"/>
        <n v="4810"/>
        <n v="4800"/>
        <n v="4790"/>
        <n v="4780"/>
        <n v="4770"/>
        <n v="4760"/>
        <n v="4750"/>
        <n v="4680"/>
        <n v="4670"/>
        <n v="4600"/>
        <n v="4570"/>
        <n v="4530"/>
        <n v="4510"/>
        <n v="4500"/>
        <n v="4470"/>
        <n v="4430"/>
        <n v="4380"/>
        <n v="4370"/>
        <n v="4340"/>
        <n v="4290"/>
        <n v="4280"/>
        <n v="4270"/>
        <n v="4250"/>
        <n v="4240"/>
        <n v="4160"/>
        <n v="4110"/>
        <n v="4060"/>
        <n v="3990"/>
        <n v="3950"/>
        <n v="3910"/>
        <n v="3820"/>
      </sharedItems>
    </cacheField>
    <cacheField name="Performance_Rating" numFmtId="0">
      <sharedItems containsSemiMixedTypes="0" containsString="0" containsNumber="1" containsInteger="1" minValue="1" maxValue="5" count="5">
        <n v="3"/>
        <n v="4"/>
        <n v="2"/>
        <n v="5"/>
        <n v="1"/>
      </sharedItems>
    </cacheField>
    <cacheField name="Job_Satisfaction" numFmtId="0">
      <sharedItems containsSemiMixedTypes="0" containsString="0" containsNumber="1" containsInteger="1" minValue="1" maxValue="5"/>
    </cacheField>
    <cacheField name="Overtime_Hours" numFmtId="0">
      <sharedItems containsSemiMixedTypes="0" containsString="0" containsNumber="1" containsInteger="1" minValue="0" maxValue="3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0">
  <r>
    <x v="0"/>
    <x v="0"/>
    <x v="0"/>
    <x v="0"/>
    <n v="60"/>
    <x v="0"/>
    <x v="0"/>
    <x v="0"/>
    <x v="0"/>
    <x v="0"/>
    <n v="3"/>
    <n v="0"/>
  </r>
  <r>
    <x v="1"/>
    <x v="0"/>
    <x v="0"/>
    <x v="0"/>
    <n v="57"/>
    <x v="0"/>
    <x v="1"/>
    <x v="1"/>
    <x v="1"/>
    <x v="1"/>
    <n v="4"/>
    <n v="2"/>
  </r>
  <r>
    <x v="2"/>
    <x v="0"/>
    <x v="0"/>
    <x v="0"/>
    <n v="51"/>
    <x v="1"/>
    <x v="2"/>
    <x v="2"/>
    <x v="2"/>
    <x v="0"/>
    <n v="2"/>
    <n v="28"/>
  </r>
  <r>
    <x v="3"/>
    <x v="0"/>
    <x v="0"/>
    <x v="1"/>
    <n v="58"/>
    <x v="1"/>
    <x v="3"/>
    <x v="3"/>
    <x v="3"/>
    <x v="1"/>
    <n v="3"/>
    <n v="0"/>
  </r>
  <r>
    <x v="4"/>
    <x v="0"/>
    <x v="0"/>
    <x v="1"/>
    <n v="56"/>
    <x v="0"/>
    <x v="2"/>
    <x v="4"/>
    <x v="4"/>
    <x v="1"/>
    <n v="3"/>
    <n v="4"/>
  </r>
  <r>
    <x v="5"/>
    <x v="1"/>
    <x v="1"/>
    <x v="0"/>
    <n v="56"/>
    <x v="0"/>
    <x v="2"/>
    <x v="5"/>
    <x v="5"/>
    <x v="1"/>
    <n v="2"/>
    <n v="17"/>
  </r>
  <r>
    <x v="6"/>
    <x v="1"/>
    <x v="2"/>
    <x v="0"/>
    <n v="58"/>
    <x v="1"/>
    <x v="4"/>
    <x v="6"/>
    <x v="6"/>
    <x v="2"/>
    <n v="3"/>
    <n v="12"/>
  </r>
  <r>
    <x v="7"/>
    <x v="0"/>
    <x v="0"/>
    <x v="0"/>
    <n v="57"/>
    <x v="0"/>
    <x v="2"/>
    <x v="7"/>
    <x v="7"/>
    <x v="1"/>
    <n v="4"/>
    <n v="0"/>
  </r>
  <r>
    <x v="8"/>
    <x v="0"/>
    <x v="0"/>
    <x v="1"/>
    <n v="60"/>
    <x v="0"/>
    <x v="1"/>
    <x v="5"/>
    <x v="8"/>
    <x v="1"/>
    <n v="3"/>
    <n v="14"/>
  </r>
  <r>
    <x v="9"/>
    <x v="1"/>
    <x v="2"/>
    <x v="1"/>
    <n v="59"/>
    <x v="1"/>
    <x v="5"/>
    <x v="0"/>
    <x v="9"/>
    <x v="0"/>
    <n v="4"/>
    <n v="2"/>
  </r>
  <r>
    <x v="10"/>
    <x v="2"/>
    <x v="3"/>
    <x v="1"/>
    <n v="57"/>
    <x v="0"/>
    <x v="6"/>
    <x v="1"/>
    <x v="10"/>
    <x v="1"/>
    <n v="1"/>
    <n v="1"/>
  </r>
  <r>
    <x v="11"/>
    <x v="3"/>
    <x v="4"/>
    <x v="0"/>
    <n v="50"/>
    <x v="1"/>
    <x v="2"/>
    <x v="8"/>
    <x v="11"/>
    <x v="0"/>
    <n v="3"/>
    <n v="16"/>
  </r>
  <r>
    <x v="12"/>
    <x v="1"/>
    <x v="2"/>
    <x v="1"/>
    <n v="51"/>
    <x v="1"/>
    <x v="7"/>
    <x v="9"/>
    <x v="11"/>
    <x v="1"/>
    <n v="2"/>
    <n v="7"/>
  </r>
  <r>
    <x v="13"/>
    <x v="4"/>
    <x v="5"/>
    <x v="1"/>
    <n v="60"/>
    <x v="2"/>
    <x v="2"/>
    <x v="10"/>
    <x v="12"/>
    <x v="3"/>
    <n v="3"/>
    <n v="15"/>
  </r>
  <r>
    <x v="14"/>
    <x v="3"/>
    <x v="4"/>
    <x v="1"/>
    <n v="59"/>
    <x v="0"/>
    <x v="4"/>
    <x v="0"/>
    <x v="13"/>
    <x v="1"/>
    <n v="4"/>
    <n v="0"/>
  </r>
  <r>
    <x v="15"/>
    <x v="3"/>
    <x v="4"/>
    <x v="0"/>
    <n v="50"/>
    <x v="0"/>
    <x v="1"/>
    <x v="11"/>
    <x v="14"/>
    <x v="1"/>
    <n v="4"/>
    <n v="2"/>
  </r>
  <r>
    <x v="16"/>
    <x v="2"/>
    <x v="3"/>
    <x v="0"/>
    <n v="58"/>
    <x v="0"/>
    <x v="1"/>
    <x v="1"/>
    <x v="15"/>
    <x v="1"/>
    <n v="3"/>
    <n v="5"/>
  </r>
  <r>
    <x v="17"/>
    <x v="0"/>
    <x v="0"/>
    <x v="0"/>
    <n v="54"/>
    <x v="0"/>
    <x v="8"/>
    <x v="5"/>
    <x v="16"/>
    <x v="0"/>
    <n v="3"/>
    <n v="8"/>
  </r>
  <r>
    <x v="18"/>
    <x v="3"/>
    <x v="4"/>
    <x v="1"/>
    <n v="59"/>
    <x v="0"/>
    <x v="4"/>
    <x v="1"/>
    <x v="17"/>
    <x v="1"/>
    <n v="3"/>
    <n v="3"/>
  </r>
  <r>
    <x v="19"/>
    <x v="3"/>
    <x v="4"/>
    <x v="0"/>
    <n v="54"/>
    <x v="0"/>
    <x v="9"/>
    <x v="9"/>
    <x v="18"/>
    <x v="1"/>
    <n v="3"/>
    <n v="13"/>
  </r>
  <r>
    <x v="20"/>
    <x v="2"/>
    <x v="3"/>
    <x v="1"/>
    <n v="57"/>
    <x v="0"/>
    <x v="10"/>
    <x v="6"/>
    <x v="19"/>
    <x v="2"/>
    <n v="3"/>
    <n v="12"/>
  </r>
  <r>
    <x v="21"/>
    <x v="4"/>
    <x v="6"/>
    <x v="1"/>
    <n v="59"/>
    <x v="1"/>
    <x v="2"/>
    <x v="3"/>
    <x v="20"/>
    <x v="1"/>
    <n v="2"/>
    <n v="7"/>
  </r>
  <r>
    <x v="22"/>
    <x v="3"/>
    <x v="4"/>
    <x v="0"/>
    <n v="59"/>
    <x v="2"/>
    <x v="8"/>
    <x v="4"/>
    <x v="21"/>
    <x v="2"/>
    <n v="4"/>
    <n v="14"/>
  </r>
  <r>
    <x v="23"/>
    <x v="2"/>
    <x v="3"/>
    <x v="0"/>
    <n v="59"/>
    <x v="0"/>
    <x v="2"/>
    <x v="2"/>
    <x v="22"/>
    <x v="0"/>
    <n v="4"/>
    <n v="10"/>
  </r>
  <r>
    <x v="24"/>
    <x v="2"/>
    <x v="3"/>
    <x v="1"/>
    <n v="50"/>
    <x v="2"/>
    <x v="2"/>
    <x v="2"/>
    <x v="23"/>
    <x v="4"/>
    <n v="4"/>
    <n v="10"/>
  </r>
  <r>
    <x v="25"/>
    <x v="5"/>
    <x v="7"/>
    <x v="1"/>
    <n v="60"/>
    <x v="0"/>
    <x v="11"/>
    <x v="6"/>
    <x v="24"/>
    <x v="0"/>
    <n v="3"/>
    <n v="6"/>
  </r>
  <r>
    <x v="26"/>
    <x v="0"/>
    <x v="8"/>
    <x v="1"/>
    <n v="55"/>
    <x v="3"/>
    <x v="5"/>
    <x v="4"/>
    <x v="25"/>
    <x v="1"/>
    <n v="4"/>
    <n v="17"/>
  </r>
  <r>
    <x v="27"/>
    <x v="0"/>
    <x v="0"/>
    <x v="0"/>
    <n v="54"/>
    <x v="3"/>
    <x v="12"/>
    <x v="9"/>
    <x v="26"/>
    <x v="1"/>
    <n v="3"/>
    <n v="20"/>
  </r>
  <r>
    <x v="28"/>
    <x v="0"/>
    <x v="0"/>
    <x v="1"/>
    <n v="56"/>
    <x v="3"/>
    <x v="13"/>
    <x v="11"/>
    <x v="26"/>
    <x v="0"/>
    <n v="3"/>
    <n v="0"/>
  </r>
  <r>
    <x v="29"/>
    <x v="1"/>
    <x v="1"/>
    <x v="1"/>
    <n v="39"/>
    <x v="2"/>
    <x v="3"/>
    <x v="12"/>
    <x v="27"/>
    <x v="0"/>
    <n v="5"/>
    <n v="0"/>
  </r>
  <r>
    <x v="30"/>
    <x v="0"/>
    <x v="8"/>
    <x v="1"/>
    <n v="58"/>
    <x v="1"/>
    <x v="1"/>
    <x v="2"/>
    <x v="27"/>
    <x v="2"/>
    <n v="2"/>
    <n v="4"/>
  </r>
  <r>
    <x v="31"/>
    <x v="5"/>
    <x v="7"/>
    <x v="0"/>
    <n v="59"/>
    <x v="0"/>
    <x v="0"/>
    <x v="11"/>
    <x v="28"/>
    <x v="1"/>
    <n v="3"/>
    <n v="4"/>
  </r>
  <r>
    <x v="32"/>
    <x v="0"/>
    <x v="0"/>
    <x v="0"/>
    <n v="57"/>
    <x v="2"/>
    <x v="2"/>
    <x v="13"/>
    <x v="29"/>
    <x v="0"/>
    <n v="4"/>
    <n v="14"/>
  </r>
  <r>
    <x v="33"/>
    <x v="2"/>
    <x v="3"/>
    <x v="1"/>
    <n v="60"/>
    <x v="0"/>
    <x v="11"/>
    <x v="10"/>
    <x v="30"/>
    <x v="1"/>
    <n v="3"/>
    <n v="11"/>
  </r>
  <r>
    <x v="34"/>
    <x v="1"/>
    <x v="9"/>
    <x v="1"/>
    <n v="59"/>
    <x v="2"/>
    <x v="11"/>
    <x v="7"/>
    <x v="30"/>
    <x v="1"/>
    <n v="2"/>
    <n v="18"/>
  </r>
  <r>
    <x v="35"/>
    <x v="3"/>
    <x v="4"/>
    <x v="0"/>
    <n v="59"/>
    <x v="1"/>
    <x v="13"/>
    <x v="7"/>
    <x v="31"/>
    <x v="1"/>
    <n v="5"/>
    <n v="0"/>
  </r>
  <r>
    <x v="36"/>
    <x v="3"/>
    <x v="4"/>
    <x v="0"/>
    <n v="53"/>
    <x v="0"/>
    <x v="1"/>
    <x v="2"/>
    <x v="31"/>
    <x v="0"/>
    <n v="3"/>
    <n v="3"/>
  </r>
  <r>
    <x v="37"/>
    <x v="0"/>
    <x v="0"/>
    <x v="1"/>
    <n v="57"/>
    <x v="2"/>
    <x v="0"/>
    <x v="5"/>
    <x v="32"/>
    <x v="3"/>
    <n v="2"/>
    <n v="12"/>
  </r>
  <r>
    <x v="38"/>
    <x v="1"/>
    <x v="1"/>
    <x v="1"/>
    <n v="53"/>
    <x v="0"/>
    <x v="0"/>
    <x v="14"/>
    <x v="33"/>
    <x v="1"/>
    <n v="4"/>
    <n v="6"/>
  </r>
  <r>
    <x v="39"/>
    <x v="1"/>
    <x v="1"/>
    <x v="0"/>
    <n v="48"/>
    <x v="0"/>
    <x v="13"/>
    <x v="13"/>
    <x v="33"/>
    <x v="1"/>
    <n v="3"/>
    <n v="20"/>
  </r>
  <r>
    <x v="40"/>
    <x v="2"/>
    <x v="3"/>
    <x v="1"/>
    <n v="55"/>
    <x v="3"/>
    <x v="13"/>
    <x v="3"/>
    <x v="34"/>
    <x v="0"/>
    <n v="3"/>
    <n v="15"/>
  </r>
  <r>
    <x v="41"/>
    <x v="3"/>
    <x v="10"/>
    <x v="0"/>
    <n v="53"/>
    <x v="0"/>
    <x v="2"/>
    <x v="15"/>
    <x v="35"/>
    <x v="1"/>
    <n v="3"/>
    <n v="1"/>
  </r>
  <r>
    <x v="42"/>
    <x v="4"/>
    <x v="5"/>
    <x v="0"/>
    <n v="51"/>
    <x v="1"/>
    <x v="1"/>
    <x v="9"/>
    <x v="36"/>
    <x v="3"/>
    <n v="4"/>
    <n v="0"/>
  </r>
  <r>
    <x v="43"/>
    <x v="1"/>
    <x v="9"/>
    <x v="1"/>
    <n v="55"/>
    <x v="2"/>
    <x v="3"/>
    <x v="4"/>
    <x v="37"/>
    <x v="3"/>
    <n v="3"/>
    <n v="12"/>
  </r>
  <r>
    <x v="44"/>
    <x v="2"/>
    <x v="11"/>
    <x v="1"/>
    <n v="53"/>
    <x v="0"/>
    <x v="7"/>
    <x v="4"/>
    <x v="38"/>
    <x v="0"/>
    <n v="2"/>
    <n v="0"/>
  </r>
  <r>
    <x v="45"/>
    <x v="0"/>
    <x v="8"/>
    <x v="1"/>
    <n v="46"/>
    <x v="0"/>
    <x v="2"/>
    <x v="14"/>
    <x v="39"/>
    <x v="0"/>
    <n v="4"/>
    <n v="8"/>
  </r>
  <r>
    <x v="46"/>
    <x v="4"/>
    <x v="5"/>
    <x v="0"/>
    <n v="44"/>
    <x v="1"/>
    <x v="1"/>
    <x v="16"/>
    <x v="40"/>
    <x v="1"/>
    <n v="3"/>
    <n v="5"/>
  </r>
  <r>
    <x v="47"/>
    <x v="2"/>
    <x v="11"/>
    <x v="1"/>
    <n v="39"/>
    <x v="0"/>
    <x v="1"/>
    <x v="17"/>
    <x v="41"/>
    <x v="0"/>
    <n v="3"/>
    <n v="1"/>
  </r>
  <r>
    <x v="48"/>
    <x v="1"/>
    <x v="9"/>
    <x v="0"/>
    <n v="50"/>
    <x v="0"/>
    <x v="13"/>
    <x v="8"/>
    <x v="41"/>
    <x v="0"/>
    <n v="4"/>
    <n v="7"/>
  </r>
  <r>
    <x v="49"/>
    <x v="1"/>
    <x v="1"/>
    <x v="1"/>
    <n v="35"/>
    <x v="1"/>
    <x v="5"/>
    <x v="12"/>
    <x v="41"/>
    <x v="0"/>
    <n v="1"/>
    <n v="21"/>
  </r>
  <r>
    <x v="50"/>
    <x v="4"/>
    <x v="12"/>
    <x v="0"/>
    <n v="58"/>
    <x v="0"/>
    <x v="7"/>
    <x v="3"/>
    <x v="42"/>
    <x v="2"/>
    <n v="3"/>
    <n v="8"/>
  </r>
  <r>
    <x v="51"/>
    <x v="1"/>
    <x v="9"/>
    <x v="0"/>
    <n v="54"/>
    <x v="0"/>
    <x v="0"/>
    <x v="5"/>
    <x v="42"/>
    <x v="3"/>
    <n v="3"/>
    <n v="24"/>
  </r>
  <r>
    <x v="52"/>
    <x v="1"/>
    <x v="1"/>
    <x v="1"/>
    <n v="47"/>
    <x v="1"/>
    <x v="5"/>
    <x v="18"/>
    <x v="43"/>
    <x v="1"/>
    <n v="4"/>
    <n v="11"/>
  </r>
  <r>
    <x v="53"/>
    <x v="1"/>
    <x v="2"/>
    <x v="0"/>
    <n v="58"/>
    <x v="1"/>
    <x v="14"/>
    <x v="6"/>
    <x v="44"/>
    <x v="1"/>
    <n v="3"/>
    <n v="28"/>
  </r>
  <r>
    <x v="54"/>
    <x v="5"/>
    <x v="7"/>
    <x v="0"/>
    <n v="56"/>
    <x v="0"/>
    <x v="6"/>
    <x v="1"/>
    <x v="44"/>
    <x v="3"/>
    <n v="2"/>
    <n v="14"/>
  </r>
  <r>
    <x v="55"/>
    <x v="0"/>
    <x v="8"/>
    <x v="0"/>
    <n v="56"/>
    <x v="1"/>
    <x v="8"/>
    <x v="5"/>
    <x v="45"/>
    <x v="0"/>
    <n v="3"/>
    <n v="4"/>
  </r>
  <r>
    <x v="56"/>
    <x v="1"/>
    <x v="1"/>
    <x v="0"/>
    <n v="40"/>
    <x v="0"/>
    <x v="1"/>
    <x v="12"/>
    <x v="46"/>
    <x v="1"/>
    <n v="3"/>
    <n v="26"/>
  </r>
  <r>
    <x v="57"/>
    <x v="1"/>
    <x v="2"/>
    <x v="1"/>
    <n v="57"/>
    <x v="2"/>
    <x v="15"/>
    <x v="2"/>
    <x v="46"/>
    <x v="1"/>
    <n v="2"/>
    <n v="21"/>
  </r>
  <r>
    <x v="58"/>
    <x v="1"/>
    <x v="13"/>
    <x v="1"/>
    <n v="50"/>
    <x v="0"/>
    <x v="7"/>
    <x v="19"/>
    <x v="47"/>
    <x v="0"/>
    <n v="2"/>
    <n v="6"/>
  </r>
  <r>
    <x v="59"/>
    <x v="0"/>
    <x v="8"/>
    <x v="0"/>
    <n v="52"/>
    <x v="2"/>
    <x v="3"/>
    <x v="9"/>
    <x v="47"/>
    <x v="2"/>
    <n v="2"/>
    <n v="14"/>
  </r>
  <r>
    <x v="60"/>
    <x v="1"/>
    <x v="13"/>
    <x v="1"/>
    <n v="60"/>
    <x v="0"/>
    <x v="15"/>
    <x v="0"/>
    <x v="48"/>
    <x v="4"/>
    <n v="3"/>
    <n v="10"/>
  </r>
  <r>
    <x v="61"/>
    <x v="1"/>
    <x v="2"/>
    <x v="0"/>
    <n v="56"/>
    <x v="1"/>
    <x v="4"/>
    <x v="4"/>
    <x v="49"/>
    <x v="0"/>
    <n v="3"/>
    <n v="3"/>
  </r>
  <r>
    <x v="62"/>
    <x v="0"/>
    <x v="0"/>
    <x v="1"/>
    <n v="43"/>
    <x v="1"/>
    <x v="15"/>
    <x v="14"/>
    <x v="50"/>
    <x v="4"/>
    <n v="4"/>
    <n v="6"/>
  </r>
  <r>
    <x v="63"/>
    <x v="2"/>
    <x v="11"/>
    <x v="0"/>
    <n v="56"/>
    <x v="0"/>
    <x v="7"/>
    <x v="11"/>
    <x v="50"/>
    <x v="1"/>
    <n v="3"/>
    <n v="4"/>
  </r>
  <r>
    <x v="64"/>
    <x v="3"/>
    <x v="4"/>
    <x v="1"/>
    <n v="52"/>
    <x v="0"/>
    <x v="9"/>
    <x v="2"/>
    <x v="50"/>
    <x v="0"/>
    <n v="4"/>
    <n v="19"/>
  </r>
  <r>
    <x v="65"/>
    <x v="1"/>
    <x v="1"/>
    <x v="0"/>
    <n v="43"/>
    <x v="1"/>
    <x v="5"/>
    <x v="20"/>
    <x v="51"/>
    <x v="4"/>
    <n v="3"/>
    <n v="8"/>
  </r>
  <r>
    <x v="66"/>
    <x v="0"/>
    <x v="0"/>
    <x v="0"/>
    <n v="50"/>
    <x v="3"/>
    <x v="14"/>
    <x v="21"/>
    <x v="52"/>
    <x v="1"/>
    <n v="3"/>
    <n v="4"/>
  </r>
  <r>
    <x v="67"/>
    <x v="3"/>
    <x v="10"/>
    <x v="0"/>
    <n v="60"/>
    <x v="1"/>
    <x v="11"/>
    <x v="5"/>
    <x v="53"/>
    <x v="3"/>
    <n v="4"/>
    <n v="16"/>
  </r>
  <r>
    <x v="68"/>
    <x v="4"/>
    <x v="12"/>
    <x v="1"/>
    <n v="58"/>
    <x v="0"/>
    <x v="1"/>
    <x v="13"/>
    <x v="54"/>
    <x v="0"/>
    <n v="5"/>
    <n v="0"/>
  </r>
  <r>
    <x v="69"/>
    <x v="1"/>
    <x v="9"/>
    <x v="1"/>
    <n v="52"/>
    <x v="2"/>
    <x v="10"/>
    <x v="11"/>
    <x v="54"/>
    <x v="1"/>
    <n v="4"/>
    <n v="12"/>
  </r>
  <r>
    <x v="70"/>
    <x v="5"/>
    <x v="14"/>
    <x v="0"/>
    <n v="58"/>
    <x v="2"/>
    <x v="14"/>
    <x v="3"/>
    <x v="55"/>
    <x v="1"/>
    <n v="3"/>
    <n v="19"/>
  </r>
  <r>
    <x v="71"/>
    <x v="2"/>
    <x v="3"/>
    <x v="0"/>
    <n v="51"/>
    <x v="0"/>
    <x v="1"/>
    <x v="16"/>
    <x v="56"/>
    <x v="0"/>
    <n v="2"/>
    <n v="0"/>
  </r>
  <r>
    <x v="72"/>
    <x v="1"/>
    <x v="9"/>
    <x v="0"/>
    <n v="51"/>
    <x v="0"/>
    <x v="3"/>
    <x v="2"/>
    <x v="57"/>
    <x v="0"/>
    <n v="3"/>
    <n v="17"/>
  </r>
  <r>
    <x v="73"/>
    <x v="5"/>
    <x v="7"/>
    <x v="0"/>
    <n v="60"/>
    <x v="0"/>
    <x v="10"/>
    <x v="4"/>
    <x v="58"/>
    <x v="0"/>
    <n v="4"/>
    <n v="13"/>
  </r>
  <r>
    <x v="74"/>
    <x v="2"/>
    <x v="3"/>
    <x v="1"/>
    <n v="47"/>
    <x v="1"/>
    <x v="2"/>
    <x v="16"/>
    <x v="59"/>
    <x v="1"/>
    <n v="1"/>
    <n v="10"/>
  </r>
  <r>
    <x v="75"/>
    <x v="2"/>
    <x v="11"/>
    <x v="1"/>
    <n v="51"/>
    <x v="0"/>
    <x v="2"/>
    <x v="8"/>
    <x v="60"/>
    <x v="0"/>
    <n v="3"/>
    <n v="6"/>
  </r>
  <r>
    <x v="76"/>
    <x v="0"/>
    <x v="8"/>
    <x v="0"/>
    <n v="50"/>
    <x v="0"/>
    <x v="9"/>
    <x v="2"/>
    <x v="61"/>
    <x v="1"/>
    <n v="3"/>
    <n v="7"/>
  </r>
  <r>
    <x v="77"/>
    <x v="1"/>
    <x v="9"/>
    <x v="1"/>
    <n v="44"/>
    <x v="0"/>
    <x v="2"/>
    <x v="16"/>
    <x v="62"/>
    <x v="2"/>
    <n v="2"/>
    <n v="7"/>
  </r>
  <r>
    <x v="78"/>
    <x v="5"/>
    <x v="15"/>
    <x v="0"/>
    <n v="60"/>
    <x v="0"/>
    <x v="10"/>
    <x v="10"/>
    <x v="63"/>
    <x v="1"/>
    <n v="4"/>
    <n v="12"/>
  </r>
  <r>
    <x v="79"/>
    <x v="1"/>
    <x v="9"/>
    <x v="0"/>
    <n v="49"/>
    <x v="0"/>
    <x v="10"/>
    <x v="22"/>
    <x v="64"/>
    <x v="0"/>
    <n v="3"/>
    <n v="10"/>
  </r>
  <r>
    <x v="80"/>
    <x v="2"/>
    <x v="3"/>
    <x v="1"/>
    <n v="58"/>
    <x v="0"/>
    <x v="6"/>
    <x v="0"/>
    <x v="64"/>
    <x v="3"/>
    <n v="3"/>
    <n v="11"/>
  </r>
  <r>
    <x v="81"/>
    <x v="1"/>
    <x v="1"/>
    <x v="1"/>
    <n v="53"/>
    <x v="2"/>
    <x v="6"/>
    <x v="15"/>
    <x v="65"/>
    <x v="1"/>
    <n v="3"/>
    <n v="10"/>
  </r>
  <r>
    <x v="82"/>
    <x v="0"/>
    <x v="16"/>
    <x v="0"/>
    <n v="47"/>
    <x v="2"/>
    <x v="1"/>
    <x v="22"/>
    <x v="66"/>
    <x v="1"/>
    <n v="3"/>
    <n v="8"/>
  </r>
  <r>
    <x v="83"/>
    <x v="3"/>
    <x v="17"/>
    <x v="1"/>
    <n v="51"/>
    <x v="1"/>
    <x v="7"/>
    <x v="15"/>
    <x v="67"/>
    <x v="1"/>
    <n v="4"/>
    <n v="0"/>
  </r>
  <r>
    <x v="84"/>
    <x v="0"/>
    <x v="0"/>
    <x v="0"/>
    <n v="36"/>
    <x v="1"/>
    <x v="10"/>
    <x v="23"/>
    <x v="68"/>
    <x v="1"/>
    <n v="3"/>
    <n v="3"/>
  </r>
  <r>
    <x v="85"/>
    <x v="2"/>
    <x v="18"/>
    <x v="1"/>
    <n v="59"/>
    <x v="1"/>
    <x v="0"/>
    <x v="24"/>
    <x v="68"/>
    <x v="0"/>
    <n v="3"/>
    <n v="7"/>
  </r>
  <r>
    <x v="86"/>
    <x v="4"/>
    <x v="5"/>
    <x v="1"/>
    <n v="49"/>
    <x v="1"/>
    <x v="6"/>
    <x v="16"/>
    <x v="68"/>
    <x v="0"/>
    <n v="4"/>
    <n v="2"/>
  </r>
  <r>
    <x v="87"/>
    <x v="4"/>
    <x v="12"/>
    <x v="1"/>
    <n v="54"/>
    <x v="0"/>
    <x v="8"/>
    <x v="11"/>
    <x v="69"/>
    <x v="2"/>
    <n v="1"/>
    <n v="15"/>
  </r>
  <r>
    <x v="88"/>
    <x v="1"/>
    <x v="9"/>
    <x v="1"/>
    <n v="53"/>
    <x v="2"/>
    <x v="4"/>
    <x v="2"/>
    <x v="70"/>
    <x v="1"/>
    <n v="5"/>
    <n v="23"/>
  </r>
  <r>
    <x v="89"/>
    <x v="1"/>
    <x v="2"/>
    <x v="1"/>
    <n v="56"/>
    <x v="0"/>
    <x v="4"/>
    <x v="5"/>
    <x v="70"/>
    <x v="0"/>
    <n v="4"/>
    <n v="1"/>
  </r>
  <r>
    <x v="90"/>
    <x v="5"/>
    <x v="15"/>
    <x v="1"/>
    <n v="58"/>
    <x v="0"/>
    <x v="5"/>
    <x v="10"/>
    <x v="70"/>
    <x v="0"/>
    <n v="4"/>
    <n v="20"/>
  </r>
  <r>
    <x v="91"/>
    <x v="4"/>
    <x v="6"/>
    <x v="0"/>
    <n v="51"/>
    <x v="0"/>
    <x v="5"/>
    <x v="8"/>
    <x v="70"/>
    <x v="0"/>
    <n v="1"/>
    <n v="8"/>
  </r>
  <r>
    <x v="92"/>
    <x v="5"/>
    <x v="7"/>
    <x v="1"/>
    <n v="49"/>
    <x v="0"/>
    <x v="14"/>
    <x v="15"/>
    <x v="71"/>
    <x v="1"/>
    <n v="5"/>
    <n v="14"/>
  </r>
  <r>
    <x v="93"/>
    <x v="4"/>
    <x v="5"/>
    <x v="0"/>
    <n v="57"/>
    <x v="3"/>
    <x v="12"/>
    <x v="6"/>
    <x v="72"/>
    <x v="0"/>
    <n v="4"/>
    <n v="8"/>
  </r>
  <r>
    <x v="94"/>
    <x v="3"/>
    <x v="4"/>
    <x v="1"/>
    <n v="52"/>
    <x v="2"/>
    <x v="6"/>
    <x v="2"/>
    <x v="72"/>
    <x v="0"/>
    <n v="3"/>
    <n v="6"/>
  </r>
  <r>
    <x v="95"/>
    <x v="1"/>
    <x v="9"/>
    <x v="0"/>
    <n v="50"/>
    <x v="0"/>
    <x v="0"/>
    <x v="19"/>
    <x v="72"/>
    <x v="1"/>
    <n v="3"/>
    <n v="12"/>
  </r>
  <r>
    <x v="96"/>
    <x v="0"/>
    <x v="8"/>
    <x v="1"/>
    <n v="52"/>
    <x v="3"/>
    <x v="13"/>
    <x v="13"/>
    <x v="73"/>
    <x v="3"/>
    <n v="3"/>
    <n v="5"/>
  </r>
  <r>
    <x v="97"/>
    <x v="0"/>
    <x v="16"/>
    <x v="1"/>
    <n v="53"/>
    <x v="2"/>
    <x v="13"/>
    <x v="9"/>
    <x v="74"/>
    <x v="2"/>
    <n v="2"/>
    <n v="7"/>
  </r>
  <r>
    <x v="98"/>
    <x v="0"/>
    <x v="16"/>
    <x v="1"/>
    <n v="52"/>
    <x v="0"/>
    <x v="14"/>
    <x v="5"/>
    <x v="75"/>
    <x v="0"/>
    <n v="5"/>
    <n v="26"/>
  </r>
  <r>
    <x v="99"/>
    <x v="2"/>
    <x v="3"/>
    <x v="0"/>
    <n v="55"/>
    <x v="1"/>
    <x v="15"/>
    <x v="2"/>
    <x v="75"/>
    <x v="1"/>
    <n v="3"/>
    <n v="22"/>
  </r>
  <r>
    <x v="100"/>
    <x v="2"/>
    <x v="3"/>
    <x v="0"/>
    <n v="57"/>
    <x v="0"/>
    <x v="12"/>
    <x v="11"/>
    <x v="76"/>
    <x v="2"/>
    <n v="3"/>
    <n v="10"/>
  </r>
  <r>
    <x v="101"/>
    <x v="1"/>
    <x v="9"/>
    <x v="0"/>
    <n v="60"/>
    <x v="0"/>
    <x v="13"/>
    <x v="5"/>
    <x v="76"/>
    <x v="0"/>
    <n v="5"/>
    <n v="0"/>
  </r>
  <r>
    <x v="102"/>
    <x v="4"/>
    <x v="12"/>
    <x v="0"/>
    <n v="43"/>
    <x v="0"/>
    <x v="5"/>
    <x v="16"/>
    <x v="76"/>
    <x v="2"/>
    <n v="3"/>
    <n v="6"/>
  </r>
  <r>
    <x v="103"/>
    <x v="2"/>
    <x v="3"/>
    <x v="1"/>
    <n v="51"/>
    <x v="0"/>
    <x v="8"/>
    <x v="16"/>
    <x v="77"/>
    <x v="0"/>
    <n v="4"/>
    <n v="13"/>
  </r>
  <r>
    <x v="104"/>
    <x v="2"/>
    <x v="3"/>
    <x v="0"/>
    <n v="48"/>
    <x v="0"/>
    <x v="7"/>
    <x v="20"/>
    <x v="78"/>
    <x v="1"/>
    <n v="3"/>
    <n v="13"/>
  </r>
  <r>
    <x v="105"/>
    <x v="3"/>
    <x v="4"/>
    <x v="0"/>
    <n v="44"/>
    <x v="0"/>
    <x v="9"/>
    <x v="17"/>
    <x v="79"/>
    <x v="4"/>
    <n v="4"/>
    <n v="5"/>
  </r>
  <r>
    <x v="106"/>
    <x v="2"/>
    <x v="3"/>
    <x v="0"/>
    <n v="43"/>
    <x v="3"/>
    <x v="6"/>
    <x v="20"/>
    <x v="80"/>
    <x v="0"/>
    <n v="3"/>
    <n v="5"/>
  </r>
  <r>
    <x v="107"/>
    <x v="3"/>
    <x v="10"/>
    <x v="1"/>
    <n v="51"/>
    <x v="0"/>
    <x v="3"/>
    <x v="2"/>
    <x v="81"/>
    <x v="4"/>
    <n v="4"/>
    <n v="5"/>
  </r>
  <r>
    <x v="108"/>
    <x v="3"/>
    <x v="17"/>
    <x v="0"/>
    <n v="55"/>
    <x v="0"/>
    <x v="8"/>
    <x v="8"/>
    <x v="82"/>
    <x v="3"/>
    <n v="4"/>
    <n v="13"/>
  </r>
  <r>
    <x v="109"/>
    <x v="2"/>
    <x v="3"/>
    <x v="0"/>
    <n v="57"/>
    <x v="1"/>
    <x v="3"/>
    <x v="4"/>
    <x v="82"/>
    <x v="0"/>
    <n v="2"/>
    <n v="15"/>
  </r>
  <r>
    <x v="110"/>
    <x v="0"/>
    <x v="16"/>
    <x v="1"/>
    <n v="48"/>
    <x v="2"/>
    <x v="2"/>
    <x v="15"/>
    <x v="83"/>
    <x v="1"/>
    <n v="4"/>
    <n v="12"/>
  </r>
  <r>
    <x v="111"/>
    <x v="5"/>
    <x v="14"/>
    <x v="1"/>
    <n v="58"/>
    <x v="0"/>
    <x v="2"/>
    <x v="4"/>
    <x v="84"/>
    <x v="1"/>
    <n v="2"/>
    <n v="12"/>
  </r>
  <r>
    <x v="112"/>
    <x v="3"/>
    <x v="4"/>
    <x v="1"/>
    <n v="37"/>
    <x v="2"/>
    <x v="9"/>
    <x v="17"/>
    <x v="85"/>
    <x v="1"/>
    <n v="3"/>
    <n v="6"/>
  </r>
  <r>
    <x v="113"/>
    <x v="2"/>
    <x v="11"/>
    <x v="1"/>
    <n v="60"/>
    <x v="2"/>
    <x v="6"/>
    <x v="4"/>
    <x v="86"/>
    <x v="0"/>
    <n v="2"/>
    <n v="14"/>
  </r>
  <r>
    <x v="114"/>
    <x v="5"/>
    <x v="7"/>
    <x v="1"/>
    <n v="52"/>
    <x v="0"/>
    <x v="15"/>
    <x v="8"/>
    <x v="86"/>
    <x v="4"/>
    <n v="2"/>
    <n v="16"/>
  </r>
  <r>
    <x v="115"/>
    <x v="2"/>
    <x v="18"/>
    <x v="0"/>
    <n v="60"/>
    <x v="2"/>
    <x v="10"/>
    <x v="1"/>
    <x v="86"/>
    <x v="0"/>
    <n v="4"/>
    <n v="20"/>
  </r>
  <r>
    <x v="116"/>
    <x v="4"/>
    <x v="5"/>
    <x v="1"/>
    <n v="41"/>
    <x v="0"/>
    <x v="3"/>
    <x v="20"/>
    <x v="86"/>
    <x v="0"/>
    <n v="5"/>
    <n v="11"/>
  </r>
  <r>
    <x v="117"/>
    <x v="3"/>
    <x v="4"/>
    <x v="1"/>
    <n v="58"/>
    <x v="0"/>
    <x v="11"/>
    <x v="13"/>
    <x v="87"/>
    <x v="0"/>
    <n v="4"/>
    <n v="10"/>
  </r>
  <r>
    <x v="118"/>
    <x v="5"/>
    <x v="7"/>
    <x v="0"/>
    <n v="46"/>
    <x v="1"/>
    <x v="15"/>
    <x v="14"/>
    <x v="88"/>
    <x v="1"/>
    <n v="4"/>
    <n v="15"/>
  </r>
  <r>
    <x v="119"/>
    <x v="4"/>
    <x v="5"/>
    <x v="1"/>
    <n v="45"/>
    <x v="3"/>
    <x v="7"/>
    <x v="25"/>
    <x v="89"/>
    <x v="0"/>
    <n v="3"/>
    <n v="1"/>
  </r>
  <r>
    <x v="120"/>
    <x v="3"/>
    <x v="10"/>
    <x v="1"/>
    <n v="50"/>
    <x v="0"/>
    <x v="7"/>
    <x v="14"/>
    <x v="90"/>
    <x v="0"/>
    <n v="5"/>
    <n v="0"/>
  </r>
  <r>
    <x v="121"/>
    <x v="3"/>
    <x v="17"/>
    <x v="0"/>
    <n v="57"/>
    <x v="1"/>
    <x v="9"/>
    <x v="4"/>
    <x v="90"/>
    <x v="4"/>
    <n v="3"/>
    <n v="18"/>
  </r>
  <r>
    <x v="122"/>
    <x v="1"/>
    <x v="2"/>
    <x v="0"/>
    <n v="49"/>
    <x v="1"/>
    <x v="0"/>
    <x v="13"/>
    <x v="91"/>
    <x v="0"/>
    <n v="5"/>
    <n v="27"/>
  </r>
  <r>
    <x v="123"/>
    <x v="1"/>
    <x v="9"/>
    <x v="1"/>
    <n v="45"/>
    <x v="1"/>
    <x v="3"/>
    <x v="17"/>
    <x v="91"/>
    <x v="0"/>
    <n v="4"/>
    <n v="0"/>
  </r>
  <r>
    <x v="124"/>
    <x v="0"/>
    <x v="0"/>
    <x v="0"/>
    <n v="40"/>
    <x v="0"/>
    <x v="2"/>
    <x v="26"/>
    <x v="92"/>
    <x v="1"/>
    <n v="3"/>
    <n v="0"/>
  </r>
  <r>
    <x v="125"/>
    <x v="0"/>
    <x v="8"/>
    <x v="1"/>
    <n v="37"/>
    <x v="0"/>
    <x v="5"/>
    <x v="27"/>
    <x v="92"/>
    <x v="0"/>
    <n v="2"/>
    <n v="8"/>
  </r>
  <r>
    <x v="126"/>
    <x v="0"/>
    <x v="0"/>
    <x v="1"/>
    <n v="33"/>
    <x v="1"/>
    <x v="3"/>
    <x v="23"/>
    <x v="93"/>
    <x v="1"/>
    <n v="4"/>
    <n v="13"/>
  </r>
  <r>
    <x v="127"/>
    <x v="5"/>
    <x v="7"/>
    <x v="1"/>
    <n v="50"/>
    <x v="0"/>
    <x v="14"/>
    <x v="14"/>
    <x v="93"/>
    <x v="3"/>
    <n v="4"/>
    <n v="5"/>
  </r>
  <r>
    <x v="128"/>
    <x v="4"/>
    <x v="6"/>
    <x v="0"/>
    <n v="58"/>
    <x v="0"/>
    <x v="13"/>
    <x v="10"/>
    <x v="94"/>
    <x v="0"/>
    <n v="1"/>
    <n v="7"/>
  </r>
  <r>
    <x v="129"/>
    <x v="3"/>
    <x v="4"/>
    <x v="0"/>
    <n v="58"/>
    <x v="0"/>
    <x v="12"/>
    <x v="4"/>
    <x v="95"/>
    <x v="1"/>
    <n v="4"/>
    <n v="11"/>
  </r>
  <r>
    <x v="130"/>
    <x v="0"/>
    <x v="0"/>
    <x v="1"/>
    <n v="45"/>
    <x v="2"/>
    <x v="14"/>
    <x v="17"/>
    <x v="95"/>
    <x v="3"/>
    <n v="5"/>
    <n v="9"/>
  </r>
  <r>
    <x v="131"/>
    <x v="4"/>
    <x v="12"/>
    <x v="1"/>
    <n v="54"/>
    <x v="0"/>
    <x v="8"/>
    <x v="5"/>
    <x v="96"/>
    <x v="0"/>
    <n v="3"/>
    <n v="11"/>
  </r>
  <r>
    <x v="132"/>
    <x v="4"/>
    <x v="5"/>
    <x v="0"/>
    <n v="50"/>
    <x v="1"/>
    <x v="0"/>
    <x v="8"/>
    <x v="96"/>
    <x v="0"/>
    <n v="4"/>
    <n v="11"/>
  </r>
  <r>
    <x v="133"/>
    <x v="5"/>
    <x v="7"/>
    <x v="0"/>
    <n v="43"/>
    <x v="0"/>
    <x v="13"/>
    <x v="25"/>
    <x v="96"/>
    <x v="0"/>
    <n v="4"/>
    <n v="21"/>
  </r>
  <r>
    <x v="134"/>
    <x v="3"/>
    <x v="10"/>
    <x v="1"/>
    <n v="49"/>
    <x v="0"/>
    <x v="6"/>
    <x v="9"/>
    <x v="96"/>
    <x v="2"/>
    <n v="2"/>
    <n v="4"/>
  </r>
  <r>
    <x v="135"/>
    <x v="1"/>
    <x v="9"/>
    <x v="1"/>
    <n v="57"/>
    <x v="0"/>
    <x v="12"/>
    <x v="4"/>
    <x v="97"/>
    <x v="0"/>
    <n v="3"/>
    <n v="4"/>
  </r>
  <r>
    <x v="136"/>
    <x v="2"/>
    <x v="18"/>
    <x v="1"/>
    <n v="42"/>
    <x v="0"/>
    <x v="9"/>
    <x v="16"/>
    <x v="98"/>
    <x v="1"/>
    <n v="3"/>
    <n v="0"/>
  </r>
  <r>
    <x v="137"/>
    <x v="0"/>
    <x v="8"/>
    <x v="0"/>
    <n v="60"/>
    <x v="1"/>
    <x v="13"/>
    <x v="11"/>
    <x v="98"/>
    <x v="0"/>
    <n v="3"/>
    <n v="5"/>
  </r>
  <r>
    <x v="138"/>
    <x v="1"/>
    <x v="13"/>
    <x v="0"/>
    <n v="60"/>
    <x v="2"/>
    <x v="8"/>
    <x v="5"/>
    <x v="99"/>
    <x v="0"/>
    <n v="4"/>
    <n v="1"/>
  </r>
  <r>
    <x v="139"/>
    <x v="2"/>
    <x v="11"/>
    <x v="1"/>
    <n v="52"/>
    <x v="0"/>
    <x v="12"/>
    <x v="4"/>
    <x v="100"/>
    <x v="1"/>
    <n v="4"/>
    <n v="6"/>
  </r>
  <r>
    <x v="140"/>
    <x v="2"/>
    <x v="3"/>
    <x v="0"/>
    <n v="48"/>
    <x v="1"/>
    <x v="6"/>
    <x v="19"/>
    <x v="100"/>
    <x v="3"/>
    <n v="4"/>
    <n v="0"/>
  </r>
  <r>
    <x v="141"/>
    <x v="4"/>
    <x v="5"/>
    <x v="1"/>
    <n v="42"/>
    <x v="0"/>
    <x v="5"/>
    <x v="17"/>
    <x v="101"/>
    <x v="3"/>
    <n v="3"/>
    <n v="13"/>
  </r>
  <r>
    <x v="142"/>
    <x v="0"/>
    <x v="8"/>
    <x v="1"/>
    <n v="56"/>
    <x v="2"/>
    <x v="15"/>
    <x v="2"/>
    <x v="102"/>
    <x v="3"/>
    <n v="3"/>
    <n v="3"/>
  </r>
  <r>
    <x v="143"/>
    <x v="2"/>
    <x v="11"/>
    <x v="0"/>
    <n v="57"/>
    <x v="0"/>
    <x v="13"/>
    <x v="11"/>
    <x v="102"/>
    <x v="0"/>
    <n v="5"/>
    <n v="1"/>
  </r>
  <r>
    <x v="144"/>
    <x v="2"/>
    <x v="11"/>
    <x v="1"/>
    <n v="45"/>
    <x v="2"/>
    <x v="5"/>
    <x v="19"/>
    <x v="103"/>
    <x v="2"/>
    <n v="5"/>
    <n v="4"/>
  </r>
  <r>
    <x v="145"/>
    <x v="2"/>
    <x v="18"/>
    <x v="1"/>
    <n v="58"/>
    <x v="0"/>
    <x v="14"/>
    <x v="1"/>
    <x v="103"/>
    <x v="1"/>
    <n v="4"/>
    <n v="8"/>
  </r>
  <r>
    <x v="146"/>
    <x v="0"/>
    <x v="8"/>
    <x v="1"/>
    <n v="50"/>
    <x v="0"/>
    <x v="0"/>
    <x v="19"/>
    <x v="103"/>
    <x v="1"/>
    <n v="3"/>
    <n v="11"/>
  </r>
  <r>
    <x v="147"/>
    <x v="1"/>
    <x v="1"/>
    <x v="0"/>
    <n v="37"/>
    <x v="3"/>
    <x v="11"/>
    <x v="17"/>
    <x v="104"/>
    <x v="0"/>
    <n v="5"/>
    <n v="4"/>
  </r>
  <r>
    <x v="148"/>
    <x v="0"/>
    <x v="16"/>
    <x v="0"/>
    <n v="57"/>
    <x v="2"/>
    <x v="12"/>
    <x v="3"/>
    <x v="105"/>
    <x v="3"/>
    <n v="3"/>
    <n v="17"/>
  </r>
  <r>
    <x v="149"/>
    <x v="3"/>
    <x v="10"/>
    <x v="1"/>
    <n v="51"/>
    <x v="2"/>
    <x v="3"/>
    <x v="11"/>
    <x v="105"/>
    <x v="0"/>
    <n v="2"/>
    <n v="16"/>
  </r>
  <r>
    <x v="150"/>
    <x v="2"/>
    <x v="11"/>
    <x v="1"/>
    <n v="40"/>
    <x v="1"/>
    <x v="7"/>
    <x v="18"/>
    <x v="105"/>
    <x v="0"/>
    <n v="3"/>
    <n v="8"/>
  </r>
  <r>
    <x v="151"/>
    <x v="5"/>
    <x v="14"/>
    <x v="0"/>
    <n v="56"/>
    <x v="0"/>
    <x v="7"/>
    <x v="2"/>
    <x v="106"/>
    <x v="1"/>
    <n v="5"/>
    <n v="5"/>
  </r>
  <r>
    <x v="152"/>
    <x v="5"/>
    <x v="7"/>
    <x v="0"/>
    <n v="41"/>
    <x v="1"/>
    <x v="1"/>
    <x v="12"/>
    <x v="106"/>
    <x v="0"/>
    <n v="4"/>
    <n v="5"/>
  </r>
  <r>
    <x v="153"/>
    <x v="1"/>
    <x v="13"/>
    <x v="1"/>
    <n v="41"/>
    <x v="0"/>
    <x v="2"/>
    <x v="16"/>
    <x v="107"/>
    <x v="1"/>
    <n v="3"/>
    <n v="5"/>
  </r>
  <r>
    <x v="154"/>
    <x v="2"/>
    <x v="3"/>
    <x v="1"/>
    <n v="38"/>
    <x v="0"/>
    <x v="7"/>
    <x v="26"/>
    <x v="108"/>
    <x v="0"/>
    <n v="4"/>
    <n v="5"/>
  </r>
  <r>
    <x v="155"/>
    <x v="3"/>
    <x v="17"/>
    <x v="1"/>
    <n v="47"/>
    <x v="0"/>
    <x v="14"/>
    <x v="8"/>
    <x v="108"/>
    <x v="1"/>
    <n v="2"/>
    <n v="0"/>
  </r>
  <r>
    <x v="156"/>
    <x v="5"/>
    <x v="14"/>
    <x v="1"/>
    <n v="58"/>
    <x v="0"/>
    <x v="8"/>
    <x v="11"/>
    <x v="108"/>
    <x v="2"/>
    <n v="2"/>
    <n v="25"/>
  </r>
  <r>
    <x v="157"/>
    <x v="0"/>
    <x v="0"/>
    <x v="1"/>
    <n v="44"/>
    <x v="1"/>
    <x v="0"/>
    <x v="14"/>
    <x v="108"/>
    <x v="1"/>
    <n v="4"/>
    <n v="10"/>
  </r>
  <r>
    <x v="158"/>
    <x v="3"/>
    <x v="4"/>
    <x v="1"/>
    <n v="53"/>
    <x v="0"/>
    <x v="12"/>
    <x v="4"/>
    <x v="109"/>
    <x v="0"/>
    <n v="3"/>
    <n v="14"/>
  </r>
  <r>
    <x v="159"/>
    <x v="0"/>
    <x v="16"/>
    <x v="0"/>
    <n v="59"/>
    <x v="0"/>
    <x v="12"/>
    <x v="11"/>
    <x v="109"/>
    <x v="0"/>
    <n v="2"/>
    <n v="7"/>
  </r>
  <r>
    <x v="160"/>
    <x v="0"/>
    <x v="16"/>
    <x v="0"/>
    <n v="52"/>
    <x v="0"/>
    <x v="12"/>
    <x v="11"/>
    <x v="109"/>
    <x v="1"/>
    <n v="4"/>
    <n v="13"/>
  </r>
  <r>
    <x v="161"/>
    <x v="0"/>
    <x v="0"/>
    <x v="1"/>
    <n v="31"/>
    <x v="1"/>
    <x v="9"/>
    <x v="28"/>
    <x v="109"/>
    <x v="0"/>
    <n v="4"/>
    <n v="16"/>
  </r>
  <r>
    <x v="162"/>
    <x v="3"/>
    <x v="10"/>
    <x v="1"/>
    <n v="53"/>
    <x v="0"/>
    <x v="4"/>
    <x v="14"/>
    <x v="110"/>
    <x v="1"/>
    <n v="3"/>
    <n v="13"/>
  </r>
  <r>
    <x v="163"/>
    <x v="0"/>
    <x v="16"/>
    <x v="1"/>
    <n v="54"/>
    <x v="0"/>
    <x v="4"/>
    <x v="11"/>
    <x v="111"/>
    <x v="0"/>
    <n v="4"/>
    <n v="18"/>
  </r>
  <r>
    <x v="164"/>
    <x v="2"/>
    <x v="11"/>
    <x v="0"/>
    <n v="50"/>
    <x v="0"/>
    <x v="3"/>
    <x v="14"/>
    <x v="111"/>
    <x v="1"/>
    <n v="4"/>
    <n v="3"/>
  </r>
  <r>
    <x v="165"/>
    <x v="5"/>
    <x v="14"/>
    <x v="1"/>
    <n v="57"/>
    <x v="0"/>
    <x v="4"/>
    <x v="4"/>
    <x v="111"/>
    <x v="1"/>
    <n v="4"/>
    <n v="10"/>
  </r>
  <r>
    <x v="166"/>
    <x v="5"/>
    <x v="14"/>
    <x v="1"/>
    <n v="57"/>
    <x v="1"/>
    <x v="13"/>
    <x v="7"/>
    <x v="112"/>
    <x v="0"/>
    <n v="4"/>
    <n v="25"/>
  </r>
  <r>
    <x v="167"/>
    <x v="1"/>
    <x v="9"/>
    <x v="0"/>
    <n v="46"/>
    <x v="0"/>
    <x v="14"/>
    <x v="17"/>
    <x v="113"/>
    <x v="2"/>
    <n v="4"/>
    <n v="20"/>
  </r>
  <r>
    <x v="168"/>
    <x v="2"/>
    <x v="11"/>
    <x v="1"/>
    <n v="48"/>
    <x v="0"/>
    <x v="7"/>
    <x v="15"/>
    <x v="114"/>
    <x v="3"/>
    <n v="3"/>
    <n v="0"/>
  </r>
  <r>
    <x v="169"/>
    <x v="2"/>
    <x v="11"/>
    <x v="1"/>
    <n v="48"/>
    <x v="1"/>
    <x v="10"/>
    <x v="2"/>
    <x v="115"/>
    <x v="3"/>
    <n v="5"/>
    <n v="13"/>
  </r>
  <r>
    <x v="170"/>
    <x v="0"/>
    <x v="8"/>
    <x v="0"/>
    <n v="43"/>
    <x v="2"/>
    <x v="5"/>
    <x v="26"/>
    <x v="115"/>
    <x v="3"/>
    <n v="3"/>
    <n v="13"/>
  </r>
  <r>
    <x v="171"/>
    <x v="4"/>
    <x v="12"/>
    <x v="1"/>
    <n v="53"/>
    <x v="0"/>
    <x v="15"/>
    <x v="5"/>
    <x v="116"/>
    <x v="0"/>
    <n v="5"/>
    <n v="6"/>
  </r>
  <r>
    <x v="172"/>
    <x v="3"/>
    <x v="10"/>
    <x v="1"/>
    <n v="53"/>
    <x v="1"/>
    <x v="8"/>
    <x v="8"/>
    <x v="117"/>
    <x v="3"/>
    <n v="3"/>
    <n v="7"/>
  </r>
  <r>
    <x v="173"/>
    <x v="1"/>
    <x v="2"/>
    <x v="1"/>
    <n v="39"/>
    <x v="2"/>
    <x v="8"/>
    <x v="23"/>
    <x v="117"/>
    <x v="1"/>
    <n v="4"/>
    <n v="9"/>
  </r>
  <r>
    <x v="174"/>
    <x v="0"/>
    <x v="8"/>
    <x v="0"/>
    <n v="46"/>
    <x v="0"/>
    <x v="6"/>
    <x v="14"/>
    <x v="118"/>
    <x v="3"/>
    <n v="3"/>
    <n v="11"/>
  </r>
  <r>
    <x v="175"/>
    <x v="3"/>
    <x v="4"/>
    <x v="1"/>
    <n v="41"/>
    <x v="0"/>
    <x v="10"/>
    <x v="27"/>
    <x v="118"/>
    <x v="0"/>
    <n v="3"/>
    <n v="10"/>
  </r>
  <r>
    <x v="176"/>
    <x v="3"/>
    <x v="4"/>
    <x v="0"/>
    <n v="44"/>
    <x v="0"/>
    <x v="3"/>
    <x v="25"/>
    <x v="118"/>
    <x v="0"/>
    <n v="3"/>
    <n v="7"/>
  </r>
  <r>
    <x v="177"/>
    <x v="0"/>
    <x v="16"/>
    <x v="1"/>
    <n v="57"/>
    <x v="2"/>
    <x v="12"/>
    <x v="3"/>
    <x v="118"/>
    <x v="3"/>
    <n v="3"/>
    <n v="10"/>
  </r>
  <r>
    <x v="178"/>
    <x v="0"/>
    <x v="0"/>
    <x v="1"/>
    <n v="37"/>
    <x v="1"/>
    <x v="9"/>
    <x v="26"/>
    <x v="118"/>
    <x v="0"/>
    <n v="5"/>
    <n v="10"/>
  </r>
  <r>
    <x v="179"/>
    <x v="3"/>
    <x v="10"/>
    <x v="1"/>
    <n v="53"/>
    <x v="3"/>
    <x v="11"/>
    <x v="15"/>
    <x v="119"/>
    <x v="0"/>
    <n v="5"/>
    <n v="2"/>
  </r>
  <r>
    <x v="180"/>
    <x v="3"/>
    <x v="10"/>
    <x v="0"/>
    <n v="54"/>
    <x v="0"/>
    <x v="0"/>
    <x v="19"/>
    <x v="119"/>
    <x v="0"/>
    <n v="2"/>
    <n v="11"/>
  </r>
  <r>
    <x v="181"/>
    <x v="1"/>
    <x v="2"/>
    <x v="1"/>
    <n v="40"/>
    <x v="1"/>
    <x v="7"/>
    <x v="26"/>
    <x v="120"/>
    <x v="3"/>
    <n v="3"/>
    <n v="9"/>
  </r>
  <r>
    <x v="182"/>
    <x v="1"/>
    <x v="9"/>
    <x v="1"/>
    <n v="41"/>
    <x v="1"/>
    <x v="0"/>
    <x v="16"/>
    <x v="121"/>
    <x v="2"/>
    <n v="3"/>
    <n v="13"/>
  </r>
  <r>
    <x v="183"/>
    <x v="0"/>
    <x v="16"/>
    <x v="1"/>
    <n v="59"/>
    <x v="0"/>
    <x v="11"/>
    <x v="2"/>
    <x v="121"/>
    <x v="0"/>
    <n v="5"/>
    <n v="9"/>
  </r>
  <r>
    <x v="184"/>
    <x v="1"/>
    <x v="9"/>
    <x v="0"/>
    <n v="45"/>
    <x v="0"/>
    <x v="14"/>
    <x v="12"/>
    <x v="122"/>
    <x v="1"/>
    <n v="3"/>
    <n v="14"/>
  </r>
  <r>
    <x v="185"/>
    <x v="0"/>
    <x v="16"/>
    <x v="1"/>
    <n v="43"/>
    <x v="2"/>
    <x v="10"/>
    <x v="20"/>
    <x v="123"/>
    <x v="0"/>
    <n v="5"/>
    <n v="0"/>
  </r>
  <r>
    <x v="186"/>
    <x v="5"/>
    <x v="14"/>
    <x v="1"/>
    <n v="48"/>
    <x v="2"/>
    <x v="0"/>
    <x v="9"/>
    <x v="124"/>
    <x v="0"/>
    <n v="4"/>
    <n v="12"/>
  </r>
  <r>
    <x v="187"/>
    <x v="2"/>
    <x v="18"/>
    <x v="0"/>
    <n v="52"/>
    <x v="1"/>
    <x v="9"/>
    <x v="14"/>
    <x v="125"/>
    <x v="3"/>
    <n v="3"/>
    <n v="10"/>
  </r>
  <r>
    <x v="188"/>
    <x v="5"/>
    <x v="14"/>
    <x v="1"/>
    <n v="58"/>
    <x v="0"/>
    <x v="8"/>
    <x v="3"/>
    <x v="125"/>
    <x v="1"/>
    <n v="3"/>
    <n v="10"/>
  </r>
  <r>
    <x v="189"/>
    <x v="0"/>
    <x v="0"/>
    <x v="0"/>
    <n v="40"/>
    <x v="2"/>
    <x v="10"/>
    <x v="27"/>
    <x v="125"/>
    <x v="0"/>
    <n v="4"/>
    <n v="0"/>
  </r>
  <r>
    <x v="190"/>
    <x v="0"/>
    <x v="8"/>
    <x v="1"/>
    <n v="46"/>
    <x v="1"/>
    <x v="9"/>
    <x v="16"/>
    <x v="125"/>
    <x v="2"/>
    <n v="4"/>
    <n v="2"/>
  </r>
  <r>
    <x v="191"/>
    <x v="3"/>
    <x v="10"/>
    <x v="1"/>
    <n v="51"/>
    <x v="1"/>
    <x v="13"/>
    <x v="16"/>
    <x v="125"/>
    <x v="0"/>
    <n v="2"/>
    <n v="22"/>
  </r>
  <r>
    <x v="192"/>
    <x v="1"/>
    <x v="1"/>
    <x v="0"/>
    <n v="44"/>
    <x v="0"/>
    <x v="9"/>
    <x v="12"/>
    <x v="126"/>
    <x v="1"/>
    <n v="4"/>
    <n v="18"/>
  </r>
  <r>
    <x v="193"/>
    <x v="2"/>
    <x v="11"/>
    <x v="1"/>
    <n v="40"/>
    <x v="0"/>
    <x v="5"/>
    <x v="25"/>
    <x v="126"/>
    <x v="1"/>
    <n v="3"/>
    <n v="10"/>
  </r>
  <r>
    <x v="194"/>
    <x v="5"/>
    <x v="14"/>
    <x v="1"/>
    <n v="51"/>
    <x v="0"/>
    <x v="8"/>
    <x v="13"/>
    <x v="127"/>
    <x v="2"/>
    <n v="1"/>
    <n v="6"/>
  </r>
  <r>
    <x v="195"/>
    <x v="3"/>
    <x v="10"/>
    <x v="1"/>
    <n v="49"/>
    <x v="1"/>
    <x v="15"/>
    <x v="9"/>
    <x v="127"/>
    <x v="0"/>
    <n v="3"/>
    <n v="5"/>
  </r>
  <r>
    <x v="196"/>
    <x v="2"/>
    <x v="18"/>
    <x v="0"/>
    <n v="48"/>
    <x v="0"/>
    <x v="2"/>
    <x v="15"/>
    <x v="128"/>
    <x v="0"/>
    <n v="2"/>
    <n v="10"/>
  </r>
  <r>
    <x v="197"/>
    <x v="5"/>
    <x v="15"/>
    <x v="0"/>
    <n v="51"/>
    <x v="2"/>
    <x v="10"/>
    <x v="19"/>
    <x v="128"/>
    <x v="1"/>
    <n v="5"/>
    <n v="4"/>
  </r>
  <r>
    <x v="198"/>
    <x v="2"/>
    <x v="3"/>
    <x v="1"/>
    <n v="40"/>
    <x v="0"/>
    <x v="12"/>
    <x v="20"/>
    <x v="129"/>
    <x v="2"/>
    <n v="3"/>
    <n v="15"/>
  </r>
  <r>
    <x v="199"/>
    <x v="0"/>
    <x v="0"/>
    <x v="1"/>
    <n v="52"/>
    <x v="0"/>
    <x v="6"/>
    <x v="16"/>
    <x v="129"/>
    <x v="2"/>
    <n v="4"/>
    <n v="8"/>
  </r>
  <r>
    <x v="200"/>
    <x v="5"/>
    <x v="14"/>
    <x v="0"/>
    <n v="52"/>
    <x v="0"/>
    <x v="9"/>
    <x v="4"/>
    <x v="130"/>
    <x v="0"/>
    <n v="1"/>
    <n v="17"/>
  </r>
  <r>
    <x v="201"/>
    <x v="4"/>
    <x v="12"/>
    <x v="0"/>
    <n v="57"/>
    <x v="0"/>
    <x v="1"/>
    <x v="5"/>
    <x v="130"/>
    <x v="0"/>
    <n v="5"/>
    <n v="18"/>
  </r>
  <r>
    <x v="202"/>
    <x v="5"/>
    <x v="7"/>
    <x v="0"/>
    <n v="43"/>
    <x v="2"/>
    <x v="2"/>
    <x v="23"/>
    <x v="131"/>
    <x v="0"/>
    <n v="3"/>
    <n v="9"/>
  </r>
  <r>
    <x v="203"/>
    <x v="0"/>
    <x v="8"/>
    <x v="1"/>
    <n v="45"/>
    <x v="1"/>
    <x v="6"/>
    <x v="21"/>
    <x v="132"/>
    <x v="0"/>
    <n v="3"/>
    <n v="14"/>
  </r>
  <r>
    <x v="204"/>
    <x v="2"/>
    <x v="18"/>
    <x v="0"/>
    <n v="58"/>
    <x v="1"/>
    <x v="9"/>
    <x v="2"/>
    <x v="132"/>
    <x v="0"/>
    <n v="3"/>
    <n v="7"/>
  </r>
  <r>
    <x v="205"/>
    <x v="5"/>
    <x v="15"/>
    <x v="0"/>
    <n v="56"/>
    <x v="1"/>
    <x v="5"/>
    <x v="9"/>
    <x v="132"/>
    <x v="0"/>
    <n v="5"/>
    <n v="11"/>
  </r>
  <r>
    <x v="206"/>
    <x v="1"/>
    <x v="1"/>
    <x v="0"/>
    <n v="37"/>
    <x v="1"/>
    <x v="12"/>
    <x v="26"/>
    <x v="133"/>
    <x v="1"/>
    <n v="5"/>
    <n v="0"/>
  </r>
  <r>
    <x v="207"/>
    <x v="3"/>
    <x v="17"/>
    <x v="0"/>
    <n v="56"/>
    <x v="1"/>
    <x v="6"/>
    <x v="11"/>
    <x v="134"/>
    <x v="1"/>
    <n v="1"/>
    <n v="14"/>
  </r>
  <r>
    <x v="208"/>
    <x v="2"/>
    <x v="3"/>
    <x v="0"/>
    <n v="43"/>
    <x v="1"/>
    <x v="10"/>
    <x v="23"/>
    <x v="134"/>
    <x v="3"/>
    <n v="4"/>
    <n v="5"/>
  </r>
  <r>
    <x v="209"/>
    <x v="1"/>
    <x v="9"/>
    <x v="0"/>
    <n v="49"/>
    <x v="0"/>
    <x v="11"/>
    <x v="21"/>
    <x v="135"/>
    <x v="0"/>
    <n v="3"/>
    <n v="23"/>
  </r>
  <r>
    <x v="210"/>
    <x v="5"/>
    <x v="7"/>
    <x v="0"/>
    <n v="36"/>
    <x v="0"/>
    <x v="10"/>
    <x v="29"/>
    <x v="136"/>
    <x v="0"/>
    <n v="3"/>
    <n v="13"/>
  </r>
  <r>
    <x v="211"/>
    <x v="4"/>
    <x v="12"/>
    <x v="0"/>
    <n v="60"/>
    <x v="1"/>
    <x v="15"/>
    <x v="7"/>
    <x v="136"/>
    <x v="0"/>
    <n v="2"/>
    <n v="14"/>
  </r>
  <r>
    <x v="212"/>
    <x v="5"/>
    <x v="7"/>
    <x v="1"/>
    <n v="37"/>
    <x v="1"/>
    <x v="2"/>
    <x v="12"/>
    <x v="136"/>
    <x v="1"/>
    <n v="4"/>
    <n v="12"/>
  </r>
  <r>
    <x v="213"/>
    <x v="2"/>
    <x v="18"/>
    <x v="0"/>
    <n v="56"/>
    <x v="3"/>
    <x v="15"/>
    <x v="5"/>
    <x v="137"/>
    <x v="1"/>
    <n v="1"/>
    <n v="5"/>
  </r>
  <r>
    <x v="214"/>
    <x v="5"/>
    <x v="7"/>
    <x v="1"/>
    <n v="39"/>
    <x v="1"/>
    <x v="14"/>
    <x v="12"/>
    <x v="138"/>
    <x v="2"/>
    <n v="3"/>
    <n v="9"/>
  </r>
  <r>
    <x v="215"/>
    <x v="5"/>
    <x v="14"/>
    <x v="1"/>
    <n v="37"/>
    <x v="0"/>
    <x v="5"/>
    <x v="12"/>
    <x v="138"/>
    <x v="1"/>
    <n v="4"/>
    <n v="2"/>
  </r>
  <r>
    <x v="216"/>
    <x v="5"/>
    <x v="7"/>
    <x v="1"/>
    <n v="41"/>
    <x v="1"/>
    <x v="9"/>
    <x v="25"/>
    <x v="138"/>
    <x v="3"/>
    <n v="4"/>
    <n v="2"/>
  </r>
  <r>
    <x v="217"/>
    <x v="0"/>
    <x v="8"/>
    <x v="0"/>
    <n v="51"/>
    <x v="0"/>
    <x v="11"/>
    <x v="8"/>
    <x v="139"/>
    <x v="0"/>
    <n v="5"/>
    <n v="10"/>
  </r>
  <r>
    <x v="218"/>
    <x v="0"/>
    <x v="8"/>
    <x v="1"/>
    <n v="40"/>
    <x v="0"/>
    <x v="8"/>
    <x v="23"/>
    <x v="140"/>
    <x v="0"/>
    <n v="5"/>
    <n v="9"/>
  </r>
  <r>
    <x v="219"/>
    <x v="5"/>
    <x v="7"/>
    <x v="1"/>
    <n v="47"/>
    <x v="0"/>
    <x v="8"/>
    <x v="17"/>
    <x v="140"/>
    <x v="0"/>
    <n v="4"/>
    <n v="10"/>
  </r>
  <r>
    <x v="220"/>
    <x v="4"/>
    <x v="5"/>
    <x v="1"/>
    <n v="45"/>
    <x v="0"/>
    <x v="4"/>
    <x v="16"/>
    <x v="141"/>
    <x v="2"/>
    <n v="3"/>
    <n v="6"/>
  </r>
  <r>
    <x v="221"/>
    <x v="5"/>
    <x v="7"/>
    <x v="1"/>
    <n v="54"/>
    <x v="0"/>
    <x v="12"/>
    <x v="13"/>
    <x v="142"/>
    <x v="1"/>
    <n v="3"/>
    <n v="15"/>
  </r>
  <r>
    <x v="222"/>
    <x v="2"/>
    <x v="3"/>
    <x v="1"/>
    <n v="45"/>
    <x v="2"/>
    <x v="3"/>
    <x v="25"/>
    <x v="142"/>
    <x v="0"/>
    <n v="5"/>
    <n v="28"/>
  </r>
  <r>
    <x v="223"/>
    <x v="0"/>
    <x v="8"/>
    <x v="0"/>
    <n v="48"/>
    <x v="0"/>
    <x v="3"/>
    <x v="25"/>
    <x v="143"/>
    <x v="1"/>
    <n v="4"/>
    <n v="5"/>
  </r>
  <r>
    <x v="224"/>
    <x v="3"/>
    <x v="4"/>
    <x v="1"/>
    <n v="55"/>
    <x v="1"/>
    <x v="4"/>
    <x v="9"/>
    <x v="143"/>
    <x v="3"/>
    <n v="4"/>
    <n v="23"/>
  </r>
  <r>
    <x v="225"/>
    <x v="2"/>
    <x v="3"/>
    <x v="0"/>
    <n v="39"/>
    <x v="3"/>
    <x v="3"/>
    <x v="23"/>
    <x v="144"/>
    <x v="3"/>
    <n v="1"/>
    <n v="9"/>
  </r>
  <r>
    <x v="226"/>
    <x v="4"/>
    <x v="5"/>
    <x v="1"/>
    <n v="37"/>
    <x v="0"/>
    <x v="15"/>
    <x v="26"/>
    <x v="144"/>
    <x v="1"/>
    <n v="4"/>
    <n v="8"/>
  </r>
  <r>
    <x v="227"/>
    <x v="2"/>
    <x v="11"/>
    <x v="1"/>
    <n v="56"/>
    <x v="2"/>
    <x v="5"/>
    <x v="19"/>
    <x v="145"/>
    <x v="1"/>
    <n v="2"/>
    <n v="14"/>
  </r>
  <r>
    <x v="228"/>
    <x v="3"/>
    <x v="4"/>
    <x v="1"/>
    <n v="57"/>
    <x v="0"/>
    <x v="11"/>
    <x v="4"/>
    <x v="145"/>
    <x v="0"/>
    <n v="4"/>
    <n v="14"/>
  </r>
  <r>
    <x v="229"/>
    <x v="5"/>
    <x v="7"/>
    <x v="1"/>
    <n v="47"/>
    <x v="0"/>
    <x v="4"/>
    <x v="20"/>
    <x v="146"/>
    <x v="2"/>
    <n v="4"/>
    <n v="12"/>
  </r>
  <r>
    <x v="230"/>
    <x v="5"/>
    <x v="14"/>
    <x v="1"/>
    <n v="59"/>
    <x v="0"/>
    <x v="11"/>
    <x v="5"/>
    <x v="147"/>
    <x v="0"/>
    <n v="3"/>
    <n v="12"/>
  </r>
  <r>
    <x v="231"/>
    <x v="2"/>
    <x v="3"/>
    <x v="0"/>
    <n v="46"/>
    <x v="0"/>
    <x v="11"/>
    <x v="21"/>
    <x v="148"/>
    <x v="1"/>
    <n v="5"/>
    <n v="15"/>
  </r>
  <r>
    <x v="232"/>
    <x v="4"/>
    <x v="5"/>
    <x v="0"/>
    <n v="35"/>
    <x v="1"/>
    <x v="8"/>
    <x v="29"/>
    <x v="149"/>
    <x v="1"/>
    <n v="4"/>
    <n v="9"/>
  </r>
  <r>
    <x v="233"/>
    <x v="3"/>
    <x v="17"/>
    <x v="0"/>
    <n v="52"/>
    <x v="1"/>
    <x v="10"/>
    <x v="19"/>
    <x v="149"/>
    <x v="1"/>
    <n v="3"/>
    <n v="21"/>
  </r>
  <r>
    <x v="234"/>
    <x v="4"/>
    <x v="6"/>
    <x v="0"/>
    <n v="49"/>
    <x v="0"/>
    <x v="13"/>
    <x v="9"/>
    <x v="149"/>
    <x v="1"/>
    <n v="2"/>
    <n v="17"/>
  </r>
  <r>
    <x v="235"/>
    <x v="3"/>
    <x v="4"/>
    <x v="0"/>
    <n v="47"/>
    <x v="0"/>
    <x v="15"/>
    <x v="14"/>
    <x v="150"/>
    <x v="0"/>
    <n v="5"/>
    <n v="1"/>
  </r>
  <r>
    <x v="236"/>
    <x v="1"/>
    <x v="2"/>
    <x v="0"/>
    <n v="34"/>
    <x v="2"/>
    <x v="1"/>
    <x v="29"/>
    <x v="151"/>
    <x v="1"/>
    <n v="5"/>
    <n v="8"/>
  </r>
  <r>
    <x v="237"/>
    <x v="1"/>
    <x v="13"/>
    <x v="1"/>
    <n v="41"/>
    <x v="1"/>
    <x v="8"/>
    <x v="18"/>
    <x v="152"/>
    <x v="1"/>
    <n v="4"/>
    <n v="10"/>
  </r>
  <r>
    <x v="238"/>
    <x v="4"/>
    <x v="12"/>
    <x v="1"/>
    <n v="48"/>
    <x v="0"/>
    <x v="0"/>
    <x v="16"/>
    <x v="152"/>
    <x v="1"/>
    <n v="3"/>
    <n v="14"/>
  </r>
  <r>
    <x v="239"/>
    <x v="4"/>
    <x v="6"/>
    <x v="0"/>
    <n v="45"/>
    <x v="1"/>
    <x v="10"/>
    <x v="16"/>
    <x v="152"/>
    <x v="2"/>
    <n v="3"/>
    <n v="9"/>
  </r>
  <r>
    <x v="240"/>
    <x v="0"/>
    <x v="0"/>
    <x v="0"/>
    <n v="43"/>
    <x v="1"/>
    <x v="13"/>
    <x v="23"/>
    <x v="153"/>
    <x v="4"/>
    <n v="4"/>
    <n v="15"/>
  </r>
  <r>
    <x v="241"/>
    <x v="5"/>
    <x v="15"/>
    <x v="0"/>
    <n v="55"/>
    <x v="0"/>
    <x v="13"/>
    <x v="3"/>
    <x v="153"/>
    <x v="1"/>
    <n v="4"/>
    <n v="9"/>
  </r>
  <r>
    <x v="242"/>
    <x v="1"/>
    <x v="13"/>
    <x v="0"/>
    <n v="41"/>
    <x v="1"/>
    <x v="2"/>
    <x v="26"/>
    <x v="154"/>
    <x v="4"/>
    <n v="3"/>
    <n v="2"/>
  </r>
  <r>
    <x v="243"/>
    <x v="1"/>
    <x v="9"/>
    <x v="1"/>
    <n v="34"/>
    <x v="0"/>
    <x v="6"/>
    <x v="29"/>
    <x v="154"/>
    <x v="0"/>
    <n v="3"/>
    <n v="16"/>
  </r>
  <r>
    <x v="244"/>
    <x v="3"/>
    <x v="17"/>
    <x v="0"/>
    <n v="47"/>
    <x v="0"/>
    <x v="1"/>
    <x v="25"/>
    <x v="154"/>
    <x v="1"/>
    <n v="4"/>
    <n v="9"/>
  </r>
  <r>
    <x v="245"/>
    <x v="2"/>
    <x v="18"/>
    <x v="1"/>
    <n v="45"/>
    <x v="0"/>
    <x v="13"/>
    <x v="25"/>
    <x v="155"/>
    <x v="0"/>
    <n v="4"/>
    <n v="12"/>
  </r>
  <r>
    <x v="246"/>
    <x v="3"/>
    <x v="17"/>
    <x v="1"/>
    <n v="43"/>
    <x v="1"/>
    <x v="2"/>
    <x v="21"/>
    <x v="155"/>
    <x v="0"/>
    <n v="5"/>
    <n v="0"/>
  </r>
  <r>
    <x v="247"/>
    <x v="5"/>
    <x v="14"/>
    <x v="1"/>
    <n v="49"/>
    <x v="0"/>
    <x v="9"/>
    <x v="15"/>
    <x v="155"/>
    <x v="4"/>
    <n v="4"/>
    <n v="9"/>
  </r>
  <r>
    <x v="248"/>
    <x v="1"/>
    <x v="1"/>
    <x v="0"/>
    <n v="34"/>
    <x v="0"/>
    <x v="14"/>
    <x v="28"/>
    <x v="156"/>
    <x v="2"/>
    <n v="4"/>
    <n v="0"/>
  </r>
  <r>
    <x v="249"/>
    <x v="4"/>
    <x v="12"/>
    <x v="0"/>
    <n v="52"/>
    <x v="0"/>
    <x v="4"/>
    <x v="15"/>
    <x v="157"/>
    <x v="1"/>
    <n v="2"/>
    <n v="12"/>
  </r>
  <r>
    <x v="250"/>
    <x v="5"/>
    <x v="15"/>
    <x v="0"/>
    <n v="58"/>
    <x v="0"/>
    <x v="2"/>
    <x v="2"/>
    <x v="157"/>
    <x v="1"/>
    <n v="3"/>
    <n v="7"/>
  </r>
  <r>
    <x v="251"/>
    <x v="2"/>
    <x v="11"/>
    <x v="1"/>
    <n v="38"/>
    <x v="0"/>
    <x v="10"/>
    <x v="25"/>
    <x v="158"/>
    <x v="0"/>
    <n v="3"/>
    <n v="12"/>
  </r>
  <r>
    <x v="252"/>
    <x v="5"/>
    <x v="15"/>
    <x v="1"/>
    <n v="52"/>
    <x v="0"/>
    <x v="0"/>
    <x v="8"/>
    <x v="159"/>
    <x v="2"/>
    <n v="4"/>
    <n v="10"/>
  </r>
  <r>
    <x v="253"/>
    <x v="0"/>
    <x v="16"/>
    <x v="1"/>
    <n v="45"/>
    <x v="1"/>
    <x v="7"/>
    <x v="17"/>
    <x v="159"/>
    <x v="2"/>
    <n v="5"/>
    <n v="0"/>
  </r>
  <r>
    <x v="254"/>
    <x v="2"/>
    <x v="3"/>
    <x v="0"/>
    <n v="44"/>
    <x v="2"/>
    <x v="11"/>
    <x v="16"/>
    <x v="160"/>
    <x v="0"/>
    <n v="4"/>
    <n v="6"/>
  </r>
  <r>
    <x v="255"/>
    <x v="1"/>
    <x v="2"/>
    <x v="0"/>
    <n v="35"/>
    <x v="0"/>
    <x v="0"/>
    <x v="12"/>
    <x v="161"/>
    <x v="1"/>
    <n v="3"/>
    <n v="17"/>
  </r>
  <r>
    <x v="256"/>
    <x v="4"/>
    <x v="5"/>
    <x v="0"/>
    <n v="42"/>
    <x v="0"/>
    <x v="14"/>
    <x v="18"/>
    <x v="162"/>
    <x v="1"/>
    <n v="3"/>
    <n v="16"/>
  </r>
  <r>
    <x v="257"/>
    <x v="4"/>
    <x v="12"/>
    <x v="0"/>
    <n v="40"/>
    <x v="0"/>
    <x v="7"/>
    <x v="20"/>
    <x v="162"/>
    <x v="0"/>
    <n v="3"/>
    <n v="5"/>
  </r>
  <r>
    <x v="258"/>
    <x v="0"/>
    <x v="0"/>
    <x v="1"/>
    <n v="28"/>
    <x v="2"/>
    <x v="14"/>
    <x v="28"/>
    <x v="163"/>
    <x v="3"/>
    <n v="5"/>
    <n v="12"/>
  </r>
  <r>
    <x v="259"/>
    <x v="3"/>
    <x v="17"/>
    <x v="0"/>
    <n v="52"/>
    <x v="0"/>
    <x v="14"/>
    <x v="16"/>
    <x v="164"/>
    <x v="1"/>
    <n v="4"/>
    <n v="12"/>
  </r>
  <r>
    <x v="260"/>
    <x v="5"/>
    <x v="15"/>
    <x v="0"/>
    <n v="54"/>
    <x v="1"/>
    <x v="0"/>
    <x v="9"/>
    <x v="165"/>
    <x v="0"/>
    <n v="3"/>
    <n v="13"/>
  </r>
  <r>
    <x v="261"/>
    <x v="4"/>
    <x v="12"/>
    <x v="0"/>
    <n v="50"/>
    <x v="1"/>
    <x v="9"/>
    <x v="14"/>
    <x v="166"/>
    <x v="4"/>
    <n v="5"/>
    <n v="14"/>
  </r>
  <r>
    <x v="262"/>
    <x v="5"/>
    <x v="14"/>
    <x v="0"/>
    <n v="38"/>
    <x v="0"/>
    <x v="1"/>
    <x v="17"/>
    <x v="167"/>
    <x v="0"/>
    <n v="2"/>
    <n v="0"/>
  </r>
  <r>
    <x v="263"/>
    <x v="0"/>
    <x v="8"/>
    <x v="0"/>
    <n v="37"/>
    <x v="0"/>
    <x v="2"/>
    <x v="26"/>
    <x v="168"/>
    <x v="3"/>
    <n v="2"/>
    <n v="13"/>
  </r>
  <r>
    <x v="264"/>
    <x v="5"/>
    <x v="15"/>
    <x v="1"/>
    <n v="50"/>
    <x v="1"/>
    <x v="8"/>
    <x v="22"/>
    <x v="169"/>
    <x v="1"/>
    <n v="5"/>
    <n v="16"/>
  </r>
  <r>
    <x v="265"/>
    <x v="3"/>
    <x v="17"/>
    <x v="1"/>
    <n v="46"/>
    <x v="0"/>
    <x v="5"/>
    <x v="22"/>
    <x v="170"/>
    <x v="1"/>
    <n v="3"/>
    <n v="11"/>
  </r>
  <r>
    <x v="266"/>
    <x v="2"/>
    <x v="18"/>
    <x v="0"/>
    <n v="47"/>
    <x v="1"/>
    <x v="10"/>
    <x v="18"/>
    <x v="171"/>
    <x v="0"/>
    <n v="3"/>
    <n v="9"/>
  </r>
  <r>
    <x v="267"/>
    <x v="2"/>
    <x v="11"/>
    <x v="1"/>
    <n v="38"/>
    <x v="0"/>
    <x v="8"/>
    <x v="23"/>
    <x v="172"/>
    <x v="0"/>
    <n v="3"/>
    <n v="27"/>
  </r>
  <r>
    <x v="268"/>
    <x v="5"/>
    <x v="15"/>
    <x v="0"/>
    <n v="43"/>
    <x v="2"/>
    <x v="10"/>
    <x v="22"/>
    <x v="173"/>
    <x v="1"/>
    <n v="2"/>
    <n v="13"/>
  </r>
  <r>
    <x v="269"/>
    <x v="0"/>
    <x v="0"/>
    <x v="0"/>
    <n v="32"/>
    <x v="1"/>
    <x v="0"/>
    <x v="28"/>
    <x v="174"/>
    <x v="0"/>
    <n v="4"/>
    <n v="8"/>
  </r>
  <r>
    <x v="270"/>
    <x v="4"/>
    <x v="6"/>
    <x v="0"/>
    <n v="52"/>
    <x v="0"/>
    <x v="15"/>
    <x v="2"/>
    <x v="174"/>
    <x v="0"/>
    <n v="3"/>
    <n v="8"/>
  </r>
  <r>
    <x v="271"/>
    <x v="2"/>
    <x v="18"/>
    <x v="0"/>
    <n v="42"/>
    <x v="0"/>
    <x v="9"/>
    <x v="25"/>
    <x v="175"/>
    <x v="2"/>
    <n v="3"/>
    <n v="25"/>
  </r>
  <r>
    <x v="272"/>
    <x v="5"/>
    <x v="15"/>
    <x v="1"/>
    <n v="54"/>
    <x v="2"/>
    <x v="0"/>
    <x v="11"/>
    <x v="176"/>
    <x v="1"/>
    <n v="3"/>
    <n v="9"/>
  </r>
  <r>
    <x v="273"/>
    <x v="4"/>
    <x v="5"/>
    <x v="0"/>
    <n v="40"/>
    <x v="1"/>
    <x v="13"/>
    <x v="26"/>
    <x v="177"/>
    <x v="2"/>
    <n v="1"/>
    <n v="5"/>
  </r>
  <r>
    <x v="274"/>
    <x v="2"/>
    <x v="18"/>
    <x v="0"/>
    <n v="47"/>
    <x v="1"/>
    <x v="1"/>
    <x v="22"/>
    <x v="177"/>
    <x v="1"/>
    <n v="1"/>
    <n v="9"/>
  </r>
  <r>
    <x v="275"/>
    <x v="2"/>
    <x v="11"/>
    <x v="1"/>
    <n v="56"/>
    <x v="0"/>
    <x v="4"/>
    <x v="19"/>
    <x v="177"/>
    <x v="1"/>
    <n v="3"/>
    <n v="6"/>
  </r>
  <r>
    <x v="276"/>
    <x v="2"/>
    <x v="11"/>
    <x v="0"/>
    <n v="45"/>
    <x v="2"/>
    <x v="13"/>
    <x v="20"/>
    <x v="177"/>
    <x v="0"/>
    <n v="2"/>
    <n v="4"/>
  </r>
  <r>
    <x v="277"/>
    <x v="3"/>
    <x v="4"/>
    <x v="0"/>
    <n v="35"/>
    <x v="1"/>
    <x v="12"/>
    <x v="23"/>
    <x v="178"/>
    <x v="0"/>
    <n v="3"/>
    <n v="16"/>
  </r>
  <r>
    <x v="278"/>
    <x v="0"/>
    <x v="8"/>
    <x v="0"/>
    <n v="48"/>
    <x v="1"/>
    <x v="4"/>
    <x v="22"/>
    <x v="179"/>
    <x v="3"/>
    <n v="4"/>
    <n v="9"/>
  </r>
  <r>
    <x v="279"/>
    <x v="0"/>
    <x v="0"/>
    <x v="1"/>
    <n v="31"/>
    <x v="0"/>
    <x v="4"/>
    <x v="30"/>
    <x v="179"/>
    <x v="1"/>
    <n v="2"/>
    <n v="0"/>
  </r>
  <r>
    <x v="280"/>
    <x v="1"/>
    <x v="13"/>
    <x v="0"/>
    <n v="46"/>
    <x v="1"/>
    <x v="13"/>
    <x v="12"/>
    <x v="180"/>
    <x v="0"/>
    <n v="4"/>
    <n v="12"/>
  </r>
  <r>
    <x v="281"/>
    <x v="4"/>
    <x v="5"/>
    <x v="0"/>
    <n v="45"/>
    <x v="2"/>
    <x v="15"/>
    <x v="23"/>
    <x v="181"/>
    <x v="2"/>
    <n v="2"/>
    <n v="12"/>
  </r>
  <r>
    <x v="282"/>
    <x v="5"/>
    <x v="14"/>
    <x v="0"/>
    <n v="57"/>
    <x v="1"/>
    <x v="13"/>
    <x v="8"/>
    <x v="181"/>
    <x v="0"/>
    <n v="3"/>
    <n v="3"/>
  </r>
  <r>
    <x v="283"/>
    <x v="5"/>
    <x v="15"/>
    <x v="1"/>
    <n v="55"/>
    <x v="0"/>
    <x v="9"/>
    <x v="19"/>
    <x v="182"/>
    <x v="2"/>
    <n v="4"/>
    <n v="16"/>
  </r>
  <r>
    <x v="284"/>
    <x v="2"/>
    <x v="18"/>
    <x v="0"/>
    <n v="50"/>
    <x v="0"/>
    <x v="6"/>
    <x v="15"/>
    <x v="182"/>
    <x v="0"/>
    <n v="4"/>
    <n v="13"/>
  </r>
  <r>
    <x v="285"/>
    <x v="2"/>
    <x v="11"/>
    <x v="1"/>
    <n v="45"/>
    <x v="2"/>
    <x v="9"/>
    <x v="16"/>
    <x v="182"/>
    <x v="0"/>
    <n v="3"/>
    <n v="16"/>
  </r>
  <r>
    <x v="286"/>
    <x v="5"/>
    <x v="14"/>
    <x v="0"/>
    <n v="46"/>
    <x v="0"/>
    <x v="10"/>
    <x v="17"/>
    <x v="182"/>
    <x v="0"/>
    <n v="3"/>
    <n v="3"/>
  </r>
  <r>
    <x v="287"/>
    <x v="5"/>
    <x v="7"/>
    <x v="0"/>
    <n v="35"/>
    <x v="0"/>
    <x v="0"/>
    <x v="29"/>
    <x v="183"/>
    <x v="2"/>
    <n v="3"/>
    <n v="1"/>
  </r>
  <r>
    <x v="288"/>
    <x v="4"/>
    <x v="6"/>
    <x v="0"/>
    <n v="32"/>
    <x v="3"/>
    <x v="10"/>
    <x v="27"/>
    <x v="184"/>
    <x v="0"/>
    <n v="4"/>
    <n v="14"/>
  </r>
  <r>
    <x v="289"/>
    <x v="0"/>
    <x v="16"/>
    <x v="1"/>
    <n v="45"/>
    <x v="2"/>
    <x v="14"/>
    <x v="18"/>
    <x v="184"/>
    <x v="1"/>
    <n v="3"/>
    <n v="6"/>
  </r>
  <r>
    <x v="290"/>
    <x v="1"/>
    <x v="13"/>
    <x v="0"/>
    <n v="57"/>
    <x v="0"/>
    <x v="14"/>
    <x v="19"/>
    <x v="185"/>
    <x v="0"/>
    <n v="5"/>
    <n v="4"/>
  </r>
  <r>
    <x v="291"/>
    <x v="3"/>
    <x v="17"/>
    <x v="0"/>
    <n v="50"/>
    <x v="3"/>
    <x v="15"/>
    <x v="16"/>
    <x v="186"/>
    <x v="1"/>
    <n v="2"/>
    <n v="17"/>
  </r>
  <r>
    <x v="292"/>
    <x v="0"/>
    <x v="16"/>
    <x v="0"/>
    <n v="49"/>
    <x v="1"/>
    <x v="4"/>
    <x v="16"/>
    <x v="186"/>
    <x v="0"/>
    <n v="4"/>
    <n v="5"/>
  </r>
  <r>
    <x v="293"/>
    <x v="3"/>
    <x v="17"/>
    <x v="0"/>
    <n v="57"/>
    <x v="0"/>
    <x v="13"/>
    <x v="4"/>
    <x v="187"/>
    <x v="1"/>
    <n v="4"/>
    <n v="14"/>
  </r>
  <r>
    <x v="294"/>
    <x v="0"/>
    <x v="8"/>
    <x v="0"/>
    <n v="36"/>
    <x v="0"/>
    <x v="9"/>
    <x v="12"/>
    <x v="188"/>
    <x v="3"/>
    <n v="4"/>
    <n v="0"/>
  </r>
  <r>
    <x v="295"/>
    <x v="4"/>
    <x v="6"/>
    <x v="1"/>
    <n v="50"/>
    <x v="0"/>
    <x v="11"/>
    <x v="14"/>
    <x v="189"/>
    <x v="0"/>
    <n v="5"/>
    <n v="14"/>
  </r>
  <r>
    <x v="296"/>
    <x v="0"/>
    <x v="8"/>
    <x v="1"/>
    <n v="44"/>
    <x v="0"/>
    <x v="15"/>
    <x v="23"/>
    <x v="190"/>
    <x v="0"/>
    <n v="3"/>
    <n v="17"/>
  </r>
  <r>
    <x v="297"/>
    <x v="3"/>
    <x v="17"/>
    <x v="0"/>
    <n v="47"/>
    <x v="3"/>
    <x v="6"/>
    <x v="22"/>
    <x v="191"/>
    <x v="0"/>
    <n v="1"/>
    <n v="13"/>
  </r>
  <r>
    <x v="298"/>
    <x v="0"/>
    <x v="16"/>
    <x v="0"/>
    <n v="45"/>
    <x v="1"/>
    <x v="13"/>
    <x v="25"/>
    <x v="192"/>
    <x v="0"/>
    <n v="4"/>
    <n v="9"/>
  </r>
  <r>
    <x v="299"/>
    <x v="3"/>
    <x v="4"/>
    <x v="0"/>
    <n v="33"/>
    <x v="1"/>
    <x v="3"/>
    <x v="31"/>
    <x v="193"/>
    <x v="4"/>
    <n v="4"/>
    <n v="11"/>
  </r>
  <r>
    <x v="300"/>
    <x v="3"/>
    <x v="17"/>
    <x v="0"/>
    <n v="42"/>
    <x v="1"/>
    <x v="7"/>
    <x v="20"/>
    <x v="193"/>
    <x v="3"/>
    <n v="2"/>
    <n v="8"/>
  </r>
  <r>
    <x v="301"/>
    <x v="3"/>
    <x v="17"/>
    <x v="1"/>
    <n v="48"/>
    <x v="1"/>
    <x v="13"/>
    <x v="20"/>
    <x v="193"/>
    <x v="2"/>
    <n v="5"/>
    <n v="7"/>
  </r>
  <r>
    <x v="302"/>
    <x v="3"/>
    <x v="17"/>
    <x v="0"/>
    <n v="54"/>
    <x v="0"/>
    <x v="11"/>
    <x v="9"/>
    <x v="194"/>
    <x v="1"/>
    <n v="2"/>
    <n v="10"/>
  </r>
  <r>
    <x v="303"/>
    <x v="5"/>
    <x v="15"/>
    <x v="1"/>
    <n v="45"/>
    <x v="1"/>
    <x v="4"/>
    <x v="21"/>
    <x v="194"/>
    <x v="3"/>
    <n v="3"/>
    <n v="6"/>
  </r>
  <r>
    <x v="304"/>
    <x v="2"/>
    <x v="18"/>
    <x v="0"/>
    <n v="54"/>
    <x v="0"/>
    <x v="15"/>
    <x v="8"/>
    <x v="195"/>
    <x v="1"/>
    <n v="5"/>
    <n v="4"/>
  </r>
  <r>
    <x v="305"/>
    <x v="5"/>
    <x v="7"/>
    <x v="0"/>
    <n v="37"/>
    <x v="1"/>
    <x v="7"/>
    <x v="23"/>
    <x v="195"/>
    <x v="1"/>
    <n v="3"/>
    <n v="3"/>
  </r>
  <r>
    <x v="306"/>
    <x v="4"/>
    <x v="5"/>
    <x v="0"/>
    <n v="32"/>
    <x v="1"/>
    <x v="9"/>
    <x v="32"/>
    <x v="196"/>
    <x v="2"/>
    <n v="3"/>
    <n v="5"/>
  </r>
  <r>
    <x v="307"/>
    <x v="5"/>
    <x v="15"/>
    <x v="1"/>
    <n v="42"/>
    <x v="1"/>
    <x v="1"/>
    <x v="23"/>
    <x v="197"/>
    <x v="0"/>
    <n v="2"/>
    <n v="4"/>
  </r>
  <r>
    <x v="308"/>
    <x v="2"/>
    <x v="11"/>
    <x v="0"/>
    <n v="41"/>
    <x v="0"/>
    <x v="15"/>
    <x v="12"/>
    <x v="198"/>
    <x v="0"/>
    <n v="3"/>
    <n v="9"/>
  </r>
  <r>
    <x v="309"/>
    <x v="0"/>
    <x v="16"/>
    <x v="0"/>
    <n v="40"/>
    <x v="0"/>
    <x v="15"/>
    <x v="29"/>
    <x v="198"/>
    <x v="0"/>
    <n v="1"/>
    <n v="13"/>
  </r>
  <r>
    <x v="310"/>
    <x v="2"/>
    <x v="3"/>
    <x v="1"/>
    <n v="40"/>
    <x v="2"/>
    <x v="11"/>
    <x v="21"/>
    <x v="198"/>
    <x v="0"/>
    <n v="2"/>
    <n v="14"/>
  </r>
  <r>
    <x v="311"/>
    <x v="4"/>
    <x v="6"/>
    <x v="1"/>
    <n v="40"/>
    <x v="2"/>
    <x v="7"/>
    <x v="12"/>
    <x v="199"/>
    <x v="0"/>
    <n v="2"/>
    <n v="11"/>
  </r>
  <r>
    <x v="312"/>
    <x v="5"/>
    <x v="15"/>
    <x v="0"/>
    <n v="43"/>
    <x v="0"/>
    <x v="10"/>
    <x v="23"/>
    <x v="199"/>
    <x v="0"/>
    <n v="2"/>
    <n v="6"/>
  </r>
  <r>
    <x v="313"/>
    <x v="0"/>
    <x v="8"/>
    <x v="1"/>
    <n v="34"/>
    <x v="0"/>
    <x v="13"/>
    <x v="32"/>
    <x v="200"/>
    <x v="3"/>
    <n v="3"/>
    <n v="15"/>
  </r>
  <r>
    <x v="314"/>
    <x v="2"/>
    <x v="3"/>
    <x v="0"/>
    <n v="48"/>
    <x v="0"/>
    <x v="12"/>
    <x v="22"/>
    <x v="201"/>
    <x v="0"/>
    <n v="3"/>
    <n v="3"/>
  </r>
  <r>
    <x v="315"/>
    <x v="4"/>
    <x v="12"/>
    <x v="1"/>
    <n v="41"/>
    <x v="0"/>
    <x v="3"/>
    <x v="31"/>
    <x v="201"/>
    <x v="0"/>
    <n v="4"/>
    <n v="0"/>
  </r>
  <r>
    <x v="316"/>
    <x v="2"/>
    <x v="11"/>
    <x v="1"/>
    <n v="49"/>
    <x v="0"/>
    <x v="12"/>
    <x v="14"/>
    <x v="202"/>
    <x v="0"/>
    <n v="4"/>
    <n v="18"/>
  </r>
  <r>
    <x v="317"/>
    <x v="1"/>
    <x v="2"/>
    <x v="1"/>
    <n v="37"/>
    <x v="1"/>
    <x v="3"/>
    <x v="31"/>
    <x v="203"/>
    <x v="0"/>
    <n v="3"/>
    <n v="18"/>
  </r>
  <r>
    <x v="318"/>
    <x v="1"/>
    <x v="9"/>
    <x v="0"/>
    <n v="31"/>
    <x v="2"/>
    <x v="6"/>
    <x v="33"/>
    <x v="203"/>
    <x v="1"/>
    <n v="2"/>
    <n v="14"/>
  </r>
  <r>
    <x v="319"/>
    <x v="1"/>
    <x v="13"/>
    <x v="1"/>
    <n v="35"/>
    <x v="0"/>
    <x v="8"/>
    <x v="34"/>
    <x v="204"/>
    <x v="1"/>
    <n v="3"/>
    <n v="6"/>
  </r>
  <r>
    <x v="320"/>
    <x v="5"/>
    <x v="14"/>
    <x v="0"/>
    <n v="51"/>
    <x v="1"/>
    <x v="15"/>
    <x v="2"/>
    <x v="204"/>
    <x v="1"/>
    <n v="3"/>
    <n v="5"/>
  </r>
  <r>
    <x v="321"/>
    <x v="1"/>
    <x v="2"/>
    <x v="1"/>
    <n v="37"/>
    <x v="0"/>
    <x v="14"/>
    <x v="33"/>
    <x v="205"/>
    <x v="3"/>
    <n v="3"/>
    <n v="9"/>
  </r>
  <r>
    <x v="322"/>
    <x v="5"/>
    <x v="7"/>
    <x v="1"/>
    <n v="42"/>
    <x v="0"/>
    <x v="4"/>
    <x v="17"/>
    <x v="205"/>
    <x v="0"/>
    <n v="4"/>
    <n v="21"/>
  </r>
  <r>
    <x v="323"/>
    <x v="5"/>
    <x v="7"/>
    <x v="0"/>
    <n v="38"/>
    <x v="1"/>
    <x v="0"/>
    <x v="26"/>
    <x v="206"/>
    <x v="1"/>
    <n v="3"/>
    <n v="16"/>
  </r>
  <r>
    <x v="324"/>
    <x v="0"/>
    <x v="16"/>
    <x v="0"/>
    <n v="38"/>
    <x v="0"/>
    <x v="10"/>
    <x v="12"/>
    <x v="207"/>
    <x v="1"/>
    <n v="4"/>
    <n v="13"/>
  </r>
  <r>
    <x v="325"/>
    <x v="1"/>
    <x v="1"/>
    <x v="0"/>
    <n v="32"/>
    <x v="0"/>
    <x v="12"/>
    <x v="35"/>
    <x v="207"/>
    <x v="1"/>
    <n v="3"/>
    <n v="7"/>
  </r>
  <r>
    <x v="326"/>
    <x v="4"/>
    <x v="5"/>
    <x v="1"/>
    <n v="33"/>
    <x v="1"/>
    <x v="6"/>
    <x v="32"/>
    <x v="207"/>
    <x v="0"/>
    <n v="3"/>
    <n v="10"/>
  </r>
  <r>
    <x v="327"/>
    <x v="5"/>
    <x v="14"/>
    <x v="1"/>
    <n v="47"/>
    <x v="0"/>
    <x v="6"/>
    <x v="22"/>
    <x v="207"/>
    <x v="0"/>
    <n v="4"/>
    <n v="19"/>
  </r>
  <r>
    <x v="328"/>
    <x v="1"/>
    <x v="9"/>
    <x v="0"/>
    <n v="41"/>
    <x v="0"/>
    <x v="13"/>
    <x v="31"/>
    <x v="207"/>
    <x v="1"/>
    <n v="5"/>
    <n v="5"/>
  </r>
  <r>
    <x v="329"/>
    <x v="3"/>
    <x v="17"/>
    <x v="0"/>
    <n v="43"/>
    <x v="0"/>
    <x v="0"/>
    <x v="21"/>
    <x v="208"/>
    <x v="0"/>
    <n v="1"/>
    <n v="28"/>
  </r>
  <r>
    <x v="330"/>
    <x v="3"/>
    <x v="10"/>
    <x v="1"/>
    <n v="35"/>
    <x v="2"/>
    <x v="3"/>
    <x v="26"/>
    <x v="209"/>
    <x v="0"/>
    <n v="1"/>
    <n v="20"/>
  </r>
  <r>
    <x v="331"/>
    <x v="4"/>
    <x v="5"/>
    <x v="1"/>
    <n v="28"/>
    <x v="0"/>
    <x v="3"/>
    <x v="33"/>
    <x v="210"/>
    <x v="1"/>
    <n v="4"/>
    <n v="1"/>
  </r>
  <r>
    <x v="332"/>
    <x v="4"/>
    <x v="5"/>
    <x v="0"/>
    <n v="36"/>
    <x v="1"/>
    <x v="15"/>
    <x v="36"/>
    <x v="210"/>
    <x v="2"/>
    <n v="4"/>
    <n v="5"/>
  </r>
  <r>
    <x v="333"/>
    <x v="5"/>
    <x v="14"/>
    <x v="1"/>
    <n v="40"/>
    <x v="2"/>
    <x v="12"/>
    <x v="17"/>
    <x v="211"/>
    <x v="2"/>
    <n v="3"/>
    <n v="24"/>
  </r>
  <r>
    <x v="334"/>
    <x v="2"/>
    <x v="18"/>
    <x v="1"/>
    <n v="52"/>
    <x v="0"/>
    <x v="12"/>
    <x v="2"/>
    <x v="212"/>
    <x v="3"/>
    <n v="2"/>
    <n v="18"/>
  </r>
  <r>
    <x v="335"/>
    <x v="2"/>
    <x v="18"/>
    <x v="0"/>
    <n v="46"/>
    <x v="1"/>
    <x v="6"/>
    <x v="17"/>
    <x v="213"/>
    <x v="4"/>
    <n v="4"/>
    <n v="15"/>
  </r>
  <r>
    <x v="336"/>
    <x v="5"/>
    <x v="14"/>
    <x v="1"/>
    <n v="37"/>
    <x v="0"/>
    <x v="2"/>
    <x v="23"/>
    <x v="213"/>
    <x v="2"/>
    <n v="4"/>
    <n v="18"/>
  </r>
  <r>
    <x v="337"/>
    <x v="1"/>
    <x v="1"/>
    <x v="0"/>
    <n v="29"/>
    <x v="2"/>
    <x v="11"/>
    <x v="30"/>
    <x v="213"/>
    <x v="2"/>
    <n v="1"/>
    <n v="25"/>
  </r>
  <r>
    <x v="338"/>
    <x v="4"/>
    <x v="12"/>
    <x v="1"/>
    <n v="43"/>
    <x v="2"/>
    <x v="3"/>
    <x v="20"/>
    <x v="214"/>
    <x v="2"/>
    <n v="1"/>
    <n v="11"/>
  </r>
  <r>
    <x v="339"/>
    <x v="0"/>
    <x v="16"/>
    <x v="1"/>
    <n v="36"/>
    <x v="0"/>
    <x v="10"/>
    <x v="27"/>
    <x v="215"/>
    <x v="1"/>
    <n v="4"/>
    <n v="5"/>
  </r>
  <r>
    <x v="340"/>
    <x v="1"/>
    <x v="2"/>
    <x v="0"/>
    <n v="30"/>
    <x v="0"/>
    <x v="6"/>
    <x v="28"/>
    <x v="216"/>
    <x v="1"/>
    <n v="3"/>
    <n v="5"/>
  </r>
  <r>
    <x v="341"/>
    <x v="5"/>
    <x v="14"/>
    <x v="0"/>
    <n v="48"/>
    <x v="2"/>
    <x v="3"/>
    <x v="20"/>
    <x v="216"/>
    <x v="0"/>
    <n v="3"/>
    <n v="4"/>
  </r>
  <r>
    <x v="342"/>
    <x v="2"/>
    <x v="3"/>
    <x v="0"/>
    <n v="31"/>
    <x v="0"/>
    <x v="3"/>
    <x v="36"/>
    <x v="217"/>
    <x v="0"/>
    <n v="5"/>
    <n v="6"/>
  </r>
  <r>
    <x v="343"/>
    <x v="4"/>
    <x v="6"/>
    <x v="1"/>
    <n v="51"/>
    <x v="0"/>
    <x v="14"/>
    <x v="14"/>
    <x v="218"/>
    <x v="4"/>
    <n v="4"/>
    <n v="15"/>
  </r>
  <r>
    <x v="344"/>
    <x v="1"/>
    <x v="13"/>
    <x v="0"/>
    <n v="34"/>
    <x v="3"/>
    <x v="11"/>
    <x v="27"/>
    <x v="219"/>
    <x v="0"/>
    <n v="3"/>
    <n v="12"/>
  </r>
  <r>
    <x v="345"/>
    <x v="2"/>
    <x v="11"/>
    <x v="1"/>
    <n v="35"/>
    <x v="0"/>
    <x v="6"/>
    <x v="26"/>
    <x v="220"/>
    <x v="3"/>
    <n v="3"/>
    <n v="6"/>
  </r>
  <r>
    <x v="346"/>
    <x v="1"/>
    <x v="9"/>
    <x v="1"/>
    <n v="32"/>
    <x v="1"/>
    <x v="9"/>
    <x v="28"/>
    <x v="221"/>
    <x v="1"/>
    <n v="5"/>
    <n v="11"/>
  </r>
  <r>
    <x v="347"/>
    <x v="5"/>
    <x v="14"/>
    <x v="1"/>
    <n v="43"/>
    <x v="1"/>
    <x v="9"/>
    <x v="23"/>
    <x v="222"/>
    <x v="1"/>
    <n v="4"/>
    <n v="17"/>
  </r>
  <r>
    <x v="348"/>
    <x v="0"/>
    <x v="8"/>
    <x v="1"/>
    <n v="30"/>
    <x v="0"/>
    <x v="0"/>
    <x v="36"/>
    <x v="222"/>
    <x v="4"/>
    <n v="3"/>
    <n v="8"/>
  </r>
  <r>
    <x v="349"/>
    <x v="5"/>
    <x v="15"/>
    <x v="0"/>
    <n v="50"/>
    <x v="1"/>
    <x v="0"/>
    <x v="19"/>
    <x v="222"/>
    <x v="4"/>
    <n v="4"/>
    <n v="9"/>
  </r>
  <r>
    <x v="350"/>
    <x v="3"/>
    <x v="4"/>
    <x v="1"/>
    <n v="40"/>
    <x v="1"/>
    <x v="11"/>
    <x v="12"/>
    <x v="222"/>
    <x v="1"/>
    <n v="3"/>
    <n v="3"/>
  </r>
  <r>
    <x v="351"/>
    <x v="3"/>
    <x v="17"/>
    <x v="0"/>
    <n v="45"/>
    <x v="0"/>
    <x v="3"/>
    <x v="12"/>
    <x v="223"/>
    <x v="1"/>
    <n v="4"/>
    <n v="4"/>
  </r>
  <r>
    <x v="352"/>
    <x v="1"/>
    <x v="9"/>
    <x v="0"/>
    <n v="37"/>
    <x v="1"/>
    <x v="3"/>
    <x v="28"/>
    <x v="223"/>
    <x v="4"/>
    <n v="3"/>
    <n v="5"/>
  </r>
  <r>
    <x v="353"/>
    <x v="1"/>
    <x v="9"/>
    <x v="1"/>
    <n v="33"/>
    <x v="0"/>
    <x v="0"/>
    <x v="33"/>
    <x v="223"/>
    <x v="0"/>
    <n v="4"/>
    <n v="2"/>
  </r>
  <r>
    <x v="354"/>
    <x v="1"/>
    <x v="1"/>
    <x v="1"/>
    <n v="25"/>
    <x v="1"/>
    <x v="12"/>
    <x v="37"/>
    <x v="224"/>
    <x v="1"/>
    <n v="3"/>
    <n v="14"/>
  </r>
  <r>
    <x v="355"/>
    <x v="5"/>
    <x v="15"/>
    <x v="1"/>
    <n v="50"/>
    <x v="1"/>
    <x v="11"/>
    <x v="8"/>
    <x v="224"/>
    <x v="4"/>
    <n v="4"/>
    <n v="16"/>
  </r>
  <r>
    <x v="356"/>
    <x v="1"/>
    <x v="2"/>
    <x v="0"/>
    <n v="22"/>
    <x v="1"/>
    <x v="0"/>
    <x v="30"/>
    <x v="224"/>
    <x v="2"/>
    <n v="3"/>
    <n v="20"/>
  </r>
  <r>
    <x v="357"/>
    <x v="2"/>
    <x v="18"/>
    <x v="0"/>
    <n v="41"/>
    <x v="2"/>
    <x v="10"/>
    <x v="20"/>
    <x v="225"/>
    <x v="3"/>
    <n v="5"/>
    <n v="18"/>
  </r>
  <r>
    <x v="358"/>
    <x v="3"/>
    <x v="10"/>
    <x v="1"/>
    <n v="34"/>
    <x v="2"/>
    <x v="0"/>
    <x v="32"/>
    <x v="226"/>
    <x v="0"/>
    <n v="3"/>
    <n v="8"/>
  </r>
  <r>
    <x v="359"/>
    <x v="5"/>
    <x v="15"/>
    <x v="0"/>
    <n v="46"/>
    <x v="2"/>
    <x v="3"/>
    <x v="22"/>
    <x v="227"/>
    <x v="3"/>
    <n v="4"/>
    <n v="21"/>
  </r>
  <r>
    <x v="360"/>
    <x v="5"/>
    <x v="7"/>
    <x v="0"/>
    <n v="42"/>
    <x v="2"/>
    <x v="4"/>
    <x v="23"/>
    <x v="227"/>
    <x v="1"/>
    <n v="3"/>
    <n v="2"/>
  </r>
  <r>
    <x v="361"/>
    <x v="2"/>
    <x v="18"/>
    <x v="1"/>
    <n v="43"/>
    <x v="2"/>
    <x v="13"/>
    <x v="25"/>
    <x v="228"/>
    <x v="2"/>
    <n v="3"/>
    <n v="10"/>
  </r>
  <r>
    <x v="362"/>
    <x v="2"/>
    <x v="18"/>
    <x v="1"/>
    <n v="40"/>
    <x v="2"/>
    <x v="4"/>
    <x v="17"/>
    <x v="229"/>
    <x v="0"/>
    <n v="3"/>
    <n v="18"/>
  </r>
  <r>
    <x v="363"/>
    <x v="3"/>
    <x v="10"/>
    <x v="1"/>
    <n v="31"/>
    <x v="2"/>
    <x v="0"/>
    <x v="36"/>
    <x v="230"/>
    <x v="1"/>
    <n v="1"/>
    <n v="19"/>
  </r>
  <r>
    <x v="364"/>
    <x v="0"/>
    <x v="16"/>
    <x v="1"/>
    <n v="35"/>
    <x v="0"/>
    <x v="15"/>
    <x v="31"/>
    <x v="231"/>
    <x v="0"/>
    <n v="3"/>
    <n v="9"/>
  </r>
  <r>
    <x v="365"/>
    <x v="5"/>
    <x v="14"/>
    <x v="0"/>
    <n v="38"/>
    <x v="0"/>
    <x v="11"/>
    <x v="18"/>
    <x v="232"/>
    <x v="0"/>
    <n v="3"/>
    <n v="24"/>
  </r>
  <r>
    <x v="366"/>
    <x v="5"/>
    <x v="15"/>
    <x v="0"/>
    <n v="43"/>
    <x v="0"/>
    <x v="6"/>
    <x v="17"/>
    <x v="232"/>
    <x v="0"/>
    <n v="3"/>
    <n v="20"/>
  </r>
  <r>
    <x v="367"/>
    <x v="5"/>
    <x v="7"/>
    <x v="0"/>
    <n v="32"/>
    <x v="1"/>
    <x v="15"/>
    <x v="36"/>
    <x v="232"/>
    <x v="0"/>
    <n v="3"/>
    <n v="27"/>
  </r>
  <r>
    <x v="368"/>
    <x v="4"/>
    <x v="6"/>
    <x v="1"/>
    <n v="42"/>
    <x v="0"/>
    <x v="13"/>
    <x v="17"/>
    <x v="232"/>
    <x v="0"/>
    <n v="4"/>
    <n v="2"/>
  </r>
  <r>
    <x v="369"/>
    <x v="0"/>
    <x v="0"/>
    <x v="1"/>
    <n v="26"/>
    <x v="2"/>
    <x v="11"/>
    <x v="37"/>
    <x v="233"/>
    <x v="0"/>
    <n v="3"/>
    <n v="18"/>
  </r>
  <r>
    <x v="370"/>
    <x v="1"/>
    <x v="9"/>
    <x v="1"/>
    <n v="37"/>
    <x v="1"/>
    <x v="4"/>
    <x v="31"/>
    <x v="234"/>
    <x v="1"/>
    <n v="1"/>
    <n v="10"/>
  </r>
  <r>
    <x v="371"/>
    <x v="2"/>
    <x v="18"/>
    <x v="1"/>
    <n v="50"/>
    <x v="0"/>
    <x v="14"/>
    <x v="21"/>
    <x v="235"/>
    <x v="0"/>
    <n v="1"/>
    <n v="12"/>
  </r>
  <r>
    <x v="372"/>
    <x v="3"/>
    <x v="4"/>
    <x v="0"/>
    <n v="32"/>
    <x v="1"/>
    <x v="6"/>
    <x v="27"/>
    <x v="236"/>
    <x v="0"/>
    <n v="4"/>
    <n v="11"/>
  </r>
  <r>
    <x v="373"/>
    <x v="1"/>
    <x v="9"/>
    <x v="1"/>
    <n v="27"/>
    <x v="0"/>
    <x v="11"/>
    <x v="38"/>
    <x v="237"/>
    <x v="0"/>
    <n v="4"/>
    <n v="16"/>
  </r>
  <r>
    <x v="374"/>
    <x v="0"/>
    <x v="8"/>
    <x v="1"/>
    <n v="33"/>
    <x v="0"/>
    <x v="14"/>
    <x v="28"/>
    <x v="238"/>
    <x v="0"/>
    <n v="4"/>
    <n v="14"/>
  </r>
  <r>
    <x v="375"/>
    <x v="2"/>
    <x v="18"/>
    <x v="1"/>
    <n v="38"/>
    <x v="1"/>
    <x v="10"/>
    <x v="29"/>
    <x v="238"/>
    <x v="3"/>
    <n v="4"/>
    <n v="14"/>
  </r>
  <r>
    <x v="376"/>
    <x v="3"/>
    <x v="4"/>
    <x v="1"/>
    <n v="40"/>
    <x v="0"/>
    <x v="11"/>
    <x v="18"/>
    <x v="239"/>
    <x v="1"/>
    <n v="5"/>
    <n v="19"/>
  </r>
  <r>
    <x v="377"/>
    <x v="4"/>
    <x v="5"/>
    <x v="0"/>
    <n v="30"/>
    <x v="0"/>
    <x v="12"/>
    <x v="37"/>
    <x v="240"/>
    <x v="0"/>
    <n v="4"/>
    <n v="1"/>
  </r>
  <r>
    <x v="378"/>
    <x v="0"/>
    <x v="16"/>
    <x v="1"/>
    <n v="31"/>
    <x v="0"/>
    <x v="10"/>
    <x v="27"/>
    <x v="241"/>
    <x v="1"/>
    <n v="4"/>
    <n v="6"/>
  </r>
  <r>
    <x v="379"/>
    <x v="3"/>
    <x v="17"/>
    <x v="0"/>
    <n v="38"/>
    <x v="0"/>
    <x v="3"/>
    <x v="12"/>
    <x v="242"/>
    <x v="1"/>
    <n v="5"/>
    <n v="3"/>
  </r>
  <r>
    <x v="380"/>
    <x v="5"/>
    <x v="14"/>
    <x v="1"/>
    <n v="42"/>
    <x v="1"/>
    <x v="7"/>
    <x v="25"/>
    <x v="243"/>
    <x v="0"/>
    <n v="3"/>
    <n v="10"/>
  </r>
  <r>
    <x v="381"/>
    <x v="4"/>
    <x v="12"/>
    <x v="0"/>
    <n v="41"/>
    <x v="0"/>
    <x v="12"/>
    <x v="22"/>
    <x v="243"/>
    <x v="0"/>
    <n v="3"/>
    <n v="8"/>
  </r>
  <r>
    <x v="382"/>
    <x v="0"/>
    <x v="8"/>
    <x v="1"/>
    <n v="29"/>
    <x v="1"/>
    <x v="15"/>
    <x v="36"/>
    <x v="243"/>
    <x v="0"/>
    <n v="5"/>
    <n v="9"/>
  </r>
  <r>
    <x v="383"/>
    <x v="4"/>
    <x v="12"/>
    <x v="1"/>
    <n v="37"/>
    <x v="2"/>
    <x v="14"/>
    <x v="32"/>
    <x v="244"/>
    <x v="2"/>
    <n v="5"/>
    <n v="16"/>
  </r>
  <r>
    <x v="384"/>
    <x v="1"/>
    <x v="13"/>
    <x v="0"/>
    <n v="40"/>
    <x v="0"/>
    <x v="12"/>
    <x v="26"/>
    <x v="245"/>
    <x v="1"/>
    <n v="2"/>
    <n v="13"/>
  </r>
  <r>
    <x v="385"/>
    <x v="4"/>
    <x v="12"/>
    <x v="0"/>
    <n v="38"/>
    <x v="0"/>
    <x v="11"/>
    <x v="26"/>
    <x v="245"/>
    <x v="1"/>
    <n v="3"/>
    <n v="18"/>
  </r>
  <r>
    <x v="386"/>
    <x v="3"/>
    <x v="4"/>
    <x v="1"/>
    <n v="30"/>
    <x v="0"/>
    <x v="3"/>
    <x v="33"/>
    <x v="246"/>
    <x v="3"/>
    <n v="4"/>
    <n v="13"/>
  </r>
  <r>
    <x v="387"/>
    <x v="0"/>
    <x v="16"/>
    <x v="0"/>
    <n v="37"/>
    <x v="0"/>
    <x v="15"/>
    <x v="32"/>
    <x v="246"/>
    <x v="3"/>
    <n v="3"/>
    <n v="0"/>
  </r>
  <r>
    <x v="388"/>
    <x v="2"/>
    <x v="11"/>
    <x v="1"/>
    <n v="39"/>
    <x v="0"/>
    <x v="3"/>
    <x v="23"/>
    <x v="246"/>
    <x v="4"/>
    <n v="5"/>
    <n v="10"/>
  </r>
  <r>
    <x v="389"/>
    <x v="0"/>
    <x v="8"/>
    <x v="1"/>
    <n v="33"/>
    <x v="0"/>
    <x v="9"/>
    <x v="28"/>
    <x v="247"/>
    <x v="0"/>
    <n v="1"/>
    <n v="17"/>
  </r>
  <r>
    <x v="390"/>
    <x v="0"/>
    <x v="8"/>
    <x v="0"/>
    <n v="33"/>
    <x v="1"/>
    <x v="3"/>
    <x v="31"/>
    <x v="248"/>
    <x v="2"/>
    <n v="3"/>
    <n v="12"/>
  </r>
  <r>
    <x v="391"/>
    <x v="1"/>
    <x v="13"/>
    <x v="1"/>
    <n v="32"/>
    <x v="1"/>
    <x v="3"/>
    <x v="28"/>
    <x v="249"/>
    <x v="0"/>
    <n v="4"/>
    <n v="9"/>
  </r>
  <r>
    <x v="392"/>
    <x v="2"/>
    <x v="11"/>
    <x v="1"/>
    <n v="46"/>
    <x v="0"/>
    <x v="3"/>
    <x v="12"/>
    <x v="250"/>
    <x v="1"/>
    <n v="3"/>
    <n v="5"/>
  </r>
  <r>
    <x v="393"/>
    <x v="3"/>
    <x v="17"/>
    <x v="1"/>
    <n v="45"/>
    <x v="1"/>
    <x v="6"/>
    <x v="16"/>
    <x v="251"/>
    <x v="1"/>
    <n v="4"/>
    <n v="0"/>
  </r>
  <r>
    <x v="394"/>
    <x v="3"/>
    <x v="17"/>
    <x v="1"/>
    <n v="48"/>
    <x v="0"/>
    <x v="13"/>
    <x v="17"/>
    <x v="251"/>
    <x v="0"/>
    <n v="5"/>
    <n v="7"/>
  </r>
  <r>
    <x v="395"/>
    <x v="4"/>
    <x v="5"/>
    <x v="0"/>
    <n v="31"/>
    <x v="0"/>
    <x v="12"/>
    <x v="27"/>
    <x v="252"/>
    <x v="2"/>
    <n v="1"/>
    <n v="12"/>
  </r>
  <r>
    <x v="396"/>
    <x v="0"/>
    <x v="8"/>
    <x v="1"/>
    <n v="29"/>
    <x v="0"/>
    <x v="4"/>
    <x v="35"/>
    <x v="253"/>
    <x v="0"/>
    <n v="4"/>
    <n v="5"/>
  </r>
  <r>
    <x v="397"/>
    <x v="5"/>
    <x v="15"/>
    <x v="0"/>
    <n v="44"/>
    <x v="3"/>
    <x v="10"/>
    <x v="29"/>
    <x v="254"/>
    <x v="1"/>
    <n v="4"/>
    <n v="2"/>
  </r>
  <r>
    <x v="398"/>
    <x v="1"/>
    <x v="1"/>
    <x v="0"/>
    <n v="26"/>
    <x v="1"/>
    <x v="12"/>
    <x v="39"/>
    <x v="254"/>
    <x v="4"/>
    <n v="3"/>
    <n v="3"/>
  </r>
  <r>
    <x v="399"/>
    <x v="1"/>
    <x v="13"/>
    <x v="1"/>
    <n v="24"/>
    <x v="0"/>
    <x v="0"/>
    <x v="30"/>
    <x v="255"/>
    <x v="1"/>
    <n v="4"/>
    <n v="14"/>
  </r>
  <r>
    <x v="400"/>
    <x v="1"/>
    <x v="2"/>
    <x v="0"/>
    <n v="30"/>
    <x v="0"/>
    <x v="15"/>
    <x v="36"/>
    <x v="255"/>
    <x v="3"/>
    <n v="3"/>
    <n v="3"/>
  </r>
  <r>
    <x v="401"/>
    <x v="0"/>
    <x v="8"/>
    <x v="1"/>
    <n v="26"/>
    <x v="1"/>
    <x v="15"/>
    <x v="40"/>
    <x v="256"/>
    <x v="1"/>
    <n v="3"/>
    <n v="11"/>
  </r>
  <r>
    <x v="402"/>
    <x v="2"/>
    <x v="11"/>
    <x v="1"/>
    <n v="39"/>
    <x v="0"/>
    <x v="3"/>
    <x v="29"/>
    <x v="256"/>
    <x v="0"/>
    <n v="5"/>
    <n v="8"/>
  </r>
  <r>
    <x v="403"/>
    <x v="0"/>
    <x v="8"/>
    <x v="1"/>
    <n v="34"/>
    <x v="0"/>
    <x v="6"/>
    <x v="28"/>
    <x v="257"/>
    <x v="3"/>
    <n v="3"/>
    <n v="8"/>
  </r>
  <r>
    <x v="404"/>
    <x v="0"/>
    <x v="16"/>
    <x v="0"/>
    <n v="36"/>
    <x v="1"/>
    <x v="15"/>
    <x v="36"/>
    <x v="257"/>
    <x v="0"/>
    <n v="3"/>
    <n v="7"/>
  </r>
  <r>
    <x v="405"/>
    <x v="3"/>
    <x v="10"/>
    <x v="1"/>
    <n v="34"/>
    <x v="1"/>
    <x v="9"/>
    <x v="34"/>
    <x v="257"/>
    <x v="2"/>
    <n v="4"/>
    <n v="11"/>
  </r>
  <r>
    <x v="406"/>
    <x v="1"/>
    <x v="9"/>
    <x v="1"/>
    <n v="22"/>
    <x v="1"/>
    <x v="12"/>
    <x v="39"/>
    <x v="257"/>
    <x v="3"/>
    <n v="4"/>
    <n v="19"/>
  </r>
  <r>
    <x v="407"/>
    <x v="5"/>
    <x v="14"/>
    <x v="1"/>
    <n v="46"/>
    <x v="1"/>
    <x v="0"/>
    <x v="18"/>
    <x v="258"/>
    <x v="0"/>
    <n v="3"/>
    <n v="2"/>
  </r>
  <r>
    <x v="408"/>
    <x v="4"/>
    <x v="6"/>
    <x v="1"/>
    <n v="34"/>
    <x v="0"/>
    <x v="14"/>
    <x v="32"/>
    <x v="259"/>
    <x v="1"/>
    <n v="1"/>
    <n v="9"/>
  </r>
  <r>
    <x v="409"/>
    <x v="1"/>
    <x v="2"/>
    <x v="1"/>
    <n v="22"/>
    <x v="1"/>
    <x v="4"/>
    <x v="38"/>
    <x v="259"/>
    <x v="0"/>
    <n v="4"/>
    <n v="14"/>
  </r>
  <r>
    <x v="410"/>
    <x v="2"/>
    <x v="18"/>
    <x v="0"/>
    <n v="42"/>
    <x v="0"/>
    <x v="13"/>
    <x v="27"/>
    <x v="259"/>
    <x v="0"/>
    <n v="3"/>
    <n v="0"/>
  </r>
  <r>
    <x v="411"/>
    <x v="5"/>
    <x v="14"/>
    <x v="1"/>
    <n v="40"/>
    <x v="0"/>
    <x v="13"/>
    <x v="31"/>
    <x v="260"/>
    <x v="1"/>
    <n v="3"/>
    <n v="11"/>
  </r>
  <r>
    <x v="412"/>
    <x v="3"/>
    <x v="10"/>
    <x v="0"/>
    <n v="30"/>
    <x v="2"/>
    <x v="11"/>
    <x v="36"/>
    <x v="261"/>
    <x v="0"/>
    <n v="3"/>
    <n v="18"/>
  </r>
  <r>
    <x v="413"/>
    <x v="0"/>
    <x v="16"/>
    <x v="0"/>
    <n v="41"/>
    <x v="3"/>
    <x v="13"/>
    <x v="23"/>
    <x v="261"/>
    <x v="0"/>
    <n v="3"/>
    <n v="10"/>
  </r>
  <r>
    <x v="414"/>
    <x v="4"/>
    <x v="6"/>
    <x v="1"/>
    <n v="36"/>
    <x v="2"/>
    <x v="0"/>
    <x v="23"/>
    <x v="262"/>
    <x v="2"/>
    <n v="3"/>
    <n v="23"/>
  </r>
  <r>
    <x v="415"/>
    <x v="5"/>
    <x v="14"/>
    <x v="1"/>
    <n v="50"/>
    <x v="0"/>
    <x v="15"/>
    <x v="22"/>
    <x v="262"/>
    <x v="0"/>
    <n v="2"/>
    <n v="16"/>
  </r>
  <r>
    <x v="416"/>
    <x v="3"/>
    <x v="17"/>
    <x v="1"/>
    <n v="35"/>
    <x v="1"/>
    <x v="3"/>
    <x v="27"/>
    <x v="262"/>
    <x v="1"/>
    <n v="4"/>
    <n v="13"/>
  </r>
  <r>
    <x v="417"/>
    <x v="2"/>
    <x v="18"/>
    <x v="0"/>
    <n v="32"/>
    <x v="0"/>
    <x v="5"/>
    <x v="29"/>
    <x v="262"/>
    <x v="0"/>
    <n v="1"/>
    <n v="9"/>
  </r>
  <r>
    <x v="418"/>
    <x v="4"/>
    <x v="6"/>
    <x v="0"/>
    <n v="31"/>
    <x v="2"/>
    <x v="6"/>
    <x v="32"/>
    <x v="263"/>
    <x v="0"/>
    <n v="2"/>
    <n v="0"/>
  </r>
  <r>
    <x v="419"/>
    <x v="0"/>
    <x v="16"/>
    <x v="1"/>
    <n v="34"/>
    <x v="2"/>
    <x v="13"/>
    <x v="26"/>
    <x v="264"/>
    <x v="0"/>
    <n v="4"/>
    <n v="9"/>
  </r>
  <r>
    <x v="420"/>
    <x v="0"/>
    <x v="0"/>
    <x v="0"/>
    <n v="32"/>
    <x v="0"/>
    <x v="15"/>
    <x v="41"/>
    <x v="264"/>
    <x v="0"/>
    <n v="4"/>
    <n v="14"/>
  </r>
  <r>
    <x v="421"/>
    <x v="2"/>
    <x v="11"/>
    <x v="1"/>
    <n v="34"/>
    <x v="0"/>
    <x v="6"/>
    <x v="36"/>
    <x v="265"/>
    <x v="2"/>
    <n v="4"/>
    <n v="13"/>
  </r>
  <r>
    <x v="422"/>
    <x v="2"/>
    <x v="11"/>
    <x v="1"/>
    <n v="31"/>
    <x v="0"/>
    <x v="15"/>
    <x v="36"/>
    <x v="265"/>
    <x v="0"/>
    <n v="2"/>
    <n v="4"/>
  </r>
  <r>
    <x v="423"/>
    <x v="0"/>
    <x v="16"/>
    <x v="0"/>
    <n v="34"/>
    <x v="0"/>
    <x v="3"/>
    <x v="28"/>
    <x v="266"/>
    <x v="2"/>
    <n v="4"/>
    <n v="15"/>
  </r>
  <r>
    <x v="424"/>
    <x v="1"/>
    <x v="1"/>
    <x v="1"/>
    <n v="21"/>
    <x v="0"/>
    <x v="12"/>
    <x v="39"/>
    <x v="266"/>
    <x v="2"/>
    <n v="2"/>
    <n v="16"/>
  </r>
  <r>
    <x v="425"/>
    <x v="1"/>
    <x v="2"/>
    <x v="0"/>
    <n v="35"/>
    <x v="0"/>
    <x v="11"/>
    <x v="28"/>
    <x v="267"/>
    <x v="2"/>
    <n v="3"/>
    <n v="10"/>
  </r>
  <r>
    <x v="426"/>
    <x v="5"/>
    <x v="7"/>
    <x v="1"/>
    <n v="32"/>
    <x v="0"/>
    <x v="11"/>
    <x v="31"/>
    <x v="268"/>
    <x v="1"/>
    <n v="5"/>
    <n v="13"/>
  </r>
  <r>
    <x v="427"/>
    <x v="3"/>
    <x v="17"/>
    <x v="1"/>
    <n v="48"/>
    <x v="0"/>
    <x v="12"/>
    <x v="19"/>
    <x v="268"/>
    <x v="1"/>
    <n v="3"/>
    <n v="16"/>
  </r>
  <r>
    <x v="428"/>
    <x v="4"/>
    <x v="5"/>
    <x v="1"/>
    <n v="28"/>
    <x v="0"/>
    <x v="13"/>
    <x v="30"/>
    <x v="269"/>
    <x v="0"/>
    <n v="3"/>
    <n v="3"/>
  </r>
  <r>
    <x v="429"/>
    <x v="0"/>
    <x v="16"/>
    <x v="0"/>
    <n v="33"/>
    <x v="0"/>
    <x v="9"/>
    <x v="28"/>
    <x v="270"/>
    <x v="0"/>
    <n v="2"/>
    <n v="2"/>
  </r>
  <r>
    <x v="430"/>
    <x v="3"/>
    <x v="4"/>
    <x v="0"/>
    <n v="30"/>
    <x v="0"/>
    <x v="12"/>
    <x v="30"/>
    <x v="270"/>
    <x v="2"/>
    <n v="3"/>
    <n v="21"/>
  </r>
  <r>
    <x v="431"/>
    <x v="1"/>
    <x v="1"/>
    <x v="1"/>
    <n v="27"/>
    <x v="0"/>
    <x v="11"/>
    <x v="35"/>
    <x v="271"/>
    <x v="1"/>
    <n v="5"/>
    <n v="3"/>
  </r>
  <r>
    <x v="432"/>
    <x v="3"/>
    <x v="17"/>
    <x v="1"/>
    <n v="44"/>
    <x v="0"/>
    <x v="15"/>
    <x v="12"/>
    <x v="272"/>
    <x v="0"/>
    <n v="3"/>
    <n v="0"/>
  </r>
  <r>
    <x v="433"/>
    <x v="3"/>
    <x v="4"/>
    <x v="0"/>
    <n v="24"/>
    <x v="0"/>
    <x v="15"/>
    <x v="35"/>
    <x v="272"/>
    <x v="1"/>
    <n v="3"/>
    <n v="18"/>
  </r>
  <r>
    <x v="434"/>
    <x v="5"/>
    <x v="7"/>
    <x v="0"/>
    <n v="35"/>
    <x v="0"/>
    <x v="9"/>
    <x v="28"/>
    <x v="273"/>
    <x v="0"/>
    <n v="3"/>
    <n v="11"/>
  </r>
  <r>
    <x v="435"/>
    <x v="5"/>
    <x v="14"/>
    <x v="1"/>
    <n v="37"/>
    <x v="0"/>
    <x v="1"/>
    <x v="23"/>
    <x v="273"/>
    <x v="0"/>
    <n v="4"/>
    <n v="13"/>
  </r>
  <r>
    <x v="436"/>
    <x v="4"/>
    <x v="12"/>
    <x v="0"/>
    <n v="35"/>
    <x v="0"/>
    <x v="0"/>
    <x v="28"/>
    <x v="273"/>
    <x v="0"/>
    <n v="1"/>
    <n v="13"/>
  </r>
  <r>
    <x v="437"/>
    <x v="4"/>
    <x v="6"/>
    <x v="1"/>
    <n v="39"/>
    <x v="0"/>
    <x v="0"/>
    <x v="26"/>
    <x v="274"/>
    <x v="2"/>
    <n v="5"/>
    <n v="9"/>
  </r>
  <r>
    <x v="438"/>
    <x v="4"/>
    <x v="5"/>
    <x v="1"/>
    <n v="25"/>
    <x v="1"/>
    <x v="15"/>
    <x v="35"/>
    <x v="274"/>
    <x v="1"/>
    <n v="4"/>
    <n v="18"/>
  </r>
  <r>
    <x v="439"/>
    <x v="2"/>
    <x v="3"/>
    <x v="1"/>
    <n v="25"/>
    <x v="0"/>
    <x v="4"/>
    <x v="40"/>
    <x v="275"/>
    <x v="0"/>
    <n v="3"/>
    <n v="7"/>
  </r>
  <r>
    <x v="440"/>
    <x v="2"/>
    <x v="3"/>
    <x v="1"/>
    <n v="31"/>
    <x v="2"/>
    <x v="6"/>
    <x v="36"/>
    <x v="276"/>
    <x v="0"/>
    <n v="5"/>
    <n v="13"/>
  </r>
  <r>
    <x v="441"/>
    <x v="2"/>
    <x v="18"/>
    <x v="0"/>
    <n v="36"/>
    <x v="1"/>
    <x v="3"/>
    <x v="12"/>
    <x v="277"/>
    <x v="3"/>
    <n v="5"/>
    <n v="8"/>
  </r>
  <r>
    <x v="442"/>
    <x v="4"/>
    <x v="12"/>
    <x v="1"/>
    <n v="46"/>
    <x v="0"/>
    <x v="13"/>
    <x v="21"/>
    <x v="278"/>
    <x v="3"/>
    <n v="3"/>
    <n v="11"/>
  </r>
  <r>
    <x v="443"/>
    <x v="5"/>
    <x v="7"/>
    <x v="1"/>
    <n v="23"/>
    <x v="0"/>
    <x v="15"/>
    <x v="35"/>
    <x v="278"/>
    <x v="1"/>
    <n v="3"/>
    <n v="7"/>
  </r>
  <r>
    <x v="444"/>
    <x v="4"/>
    <x v="12"/>
    <x v="0"/>
    <n v="24"/>
    <x v="0"/>
    <x v="13"/>
    <x v="36"/>
    <x v="279"/>
    <x v="1"/>
    <n v="3"/>
    <n v="5"/>
  </r>
  <r>
    <x v="445"/>
    <x v="1"/>
    <x v="13"/>
    <x v="1"/>
    <n v="35"/>
    <x v="0"/>
    <x v="15"/>
    <x v="34"/>
    <x v="280"/>
    <x v="1"/>
    <n v="3"/>
    <n v="13"/>
  </r>
  <r>
    <x v="446"/>
    <x v="5"/>
    <x v="15"/>
    <x v="1"/>
    <n v="38"/>
    <x v="1"/>
    <x v="14"/>
    <x v="27"/>
    <x v="281"/>
    <x v="2"/>
    <n v="4"/>
    <n v="5"/>
  </r>
  <r>
    <x v="447"/>
    <x v="2"/>
    <x v="11"/>
    <x v="1"/>
    <n v="33"/>
    <x v="1"/>
    <x v="9"/>
    <x v="32"/>
    <x v="282"/>
    <x v="3"/>
    <n v="1"/>
    <n v="0"/>
  </r>
  <r>
    <x v="448"/>
    <x v="2"/>
    <x v="18"/>
    <x v="0"/>
    <n v="36"/>
    <x v="1"/>
    <x v="12"/>
    <x v="34"/>
    <x v="282"/>
    <x v="0"/>
    <n v="4"/>
    <n v="23"/>
  </r>
  <r>
    <x v="449"/>
    <x v="4"/>
    <x v="12"/>
    <x v="0"/>
    <n v="23"/>
    <x v="0"/>
    <x v="11"/>
    <x v="40"/>
    <x v="283"/>
    <x v="0"/>
    <n v="4"/>
    <n v="24"/>
  </r>
  <r>
    <x v="450"/>
    <x v="1"/>
    <x v="13"/>
    <x v="0"/>
    <n v="41"/>
    <x v="0"/>
    <x v="12"/>
    <x v="25"/>
    <x v="283"/>
    <x v="3"/>
    <n v="4"/>
    <n v="11"/>
  </r>
  <r>
    <x v="451"/>
    <x v="2"/>
    <x v="3"/>
    <x v="1"/>
    <n v="21"/>
    <x v="0"/>
    <x v="12"/>
    <x v="39"/>
    <x v="284"/>
    <x v="0"/>
    <n v="2"/>
    <n v="18"/>
  </r>
  <r>
    <x v="452"/>
    <x v="1"/>
    <x v="9"/>
    <x v="0"/>
    <n v="29"/>
    <x v="1"/>
    <x v="4"/>
    <x v="38"/>
    <x v="285"/>
    <x v="0"/>
    <n v="3"/>
    <n v="17"/>
  </r>
  <r>
    <x v="453"/>
    <x v="1"/>
    <x v="13"/>
    <x v="1"/>
    <n v="35"/>
    <x v="3"/>
    <x v="15"/>
    <x v="34"/>
    <x v="285"/>
    <x v="0"/>
    <n v="2"/>
    <n v="31"/>
  </r>
  <r>
    <x v="454"/>
    <x v="0"/>
    <x v="8"/>
    <x v="0"/>
    <n v="27"/>
    <x v="1"/>
    <x v="11"/>
    <x v="30"/>
    <x v="285"/>
    <x v="0"/>
    <n v="2"/>
    <n v="0"/>
  </r>
  <r>
    <x v="455"/>
    <x v="3"/>
    <x v="17"/>
    <x v="1"/>
    <n v="43"/>
    <x v="0"/>
    <x v="11"/>
    <x v="22"/>
    <x v="285"/>
    <x v="3"/>
    <n v="3"/>
    <n v="19"/>
  </r>
  <r>
    <x v="456"/>
    <x v="4"/>
    <x v="6"/>
    <x v="1"/>
    <n v="32"/>
    <x v="1"/>
    <x v="9"/>
    <x v="28"/>
    <x v="286"/>
    <x v="0"/>
    <n v="1"/>
    <n v="11"/>
  </r>
  <r>
    <x v="457"/>
    <x v="5"/>
    <x v="7"/>
    <x v="1"/>
    <n v="31"/>
    <x v="0"/>
    <x v="13"/>
    <x v="35"/>
    <x v="287"/>
    <x v="0"/>
    <n v="4"/>
    <n v="26"/>
  </r>
  <r>
    <x v="458"/>
    <x v="5"/>
    <x v="15"/>
    <x v="1"/>
    <n v="40"/>
    <x v="1"/>
    <x v="13"/>
    <x v="23"/>
    <x v="288"/>
    <x v="0"/>
    <n v="2"/>
    <n v="13"/>
  </r>
  <r>
    <x v="459"/>
    <x v="5"/>
    <x v="7"/>
    <x v="0"/>
    <n v="30"/>
    <x v="0"/>
    <x v="10"/>
    <x v="34"/>
    <x v="289"/>
    <x v="0"/>
    <n v="4"/>
    <n v="24"/>
  </r>
  <r>
    <x v="460"/>
    <x v="3"/>
    <x v="10"/>
    <x v="0"/>
    <n v="32"/>
    <x v="0"/>
    <x v="4"/>
    <x v="38"/>
    <x v="289"/>
    <x v="0"/>
    <n v="1"/>
    <n v="20"/>
  </r>
  <r>
    <x v="461"/>
    <x v="3"/>
    <x v="17"/>
    <x v="0"/>
    <n v="39"/>
    <x v="2"/>
    <x v="3"/>
    <x v="27"/>
    <x v="290"/>
    <x v="0"/>
    <n v="2"/>
    <n v="14"/>
  </r>
  <r>
    <x v="462"/>
    <x v="1"/>
    <x v="2"/>
    <x v="0"/>
    <n v="22"/>
    <x v="1"/>
    <x v="11"/>
    <x v="38"/>
    <x v="291"/>
    <x v="1"/>
    <n v="2"/>
    <n v="4"/>
  </r>
  <r>
    <x v="463"/>
    <x v="4"/>
    <x v="12"/>
    <x v="0"/>
    <n v="35"/>
    <x v="0"/>
    <x v="13"/>
    <x v="32"/>
    <x v="292"/>
    <x v="1"/>
    <n v="1"/>
    <n v="17"/>
  </r>
  <r>
    <x v="464"/>
    <x v="2"/>
    <x v="3"/>
    <x v="1"/>
    <n v="24"/>
    <x v="1"/>
    <x v="6"/>
    <x v="40"/>
    <x v="292"/>
    <x v="1"/>
    <n v="3"/>
    <n v="5"/>
  </r>
  <r>
    <x v="465"/>
    <x v="0"/>
    <x v="8"/>
    <x v="0"/>
    <n v="32"/>
    <x v="1"/>
    <x v="15"/>
    <x v="41"/>
    <x v="293"/>
    <x v="1"/>
    <n v="4"/>
    <n v="19"/>
  </r>
  <r>
    <x v="466"/>
    <x v="5"/>
    <x v="14"/>
    <x v="1"/>
    <n v="27"/>
    <x v="0"/>
    <x v="4"/>
    <x v="35"/>
    <x v="294"/>
    <x v="1"/>
    <n v="3"/>
    <n v="12"/>
  </r>
  <r>
    <x v="467"/>
    <x v="3"/>
    <x v="10"/>
    <x v="1"/>
    <n v="21"/>
    <x v="1"/>
    <x v="12"/>
    <x v="39"/>
    <x v="295"/>
    <x v="3"/>
    <n v="3"/>
    <n v="5"/>
  </r>
  <r>
    <x v="468"/>
    <x v="4"/>
    <x v="6"/>
    <x v="1"/>
    <n v="36"/>
    <x v="0"/>
    <x v="11"/>
    <x v="26"/>
    <x v="295"/>
    <x v="0"/>
    <n v="1"/>
    <n v="3"/>
  </r>
  <r>
    <x v="469"/>
    <x v="5"/>
    <x v="15"/>
    <x v="1"/>
    <n v="50"/>
    <x v="3"/>
    <x v="11"/>
    <x v="20"/>
    <x v="295"/>
    <x v="0"/>
    <n v="5"/>
    <n v="23"/>
  </r>
  <r>
    <x v="470"/>
    <x v="2"/>
    <x v="18"/>
    <x v="1"/>
    <n v="41"/>
    <x v="1"/>
    <x v="6"/>
    <x v="26"/>
    <x v="296"/>
    <x v="0"/>
    <n v="3"/>
    <n v="21"/>
  </r>
  <r>
    <x v="471"/>
    <x v="5"/>
    <x v="14"/>
    <x v="1"/>
    <n v="38"/>
    <x v="1"/>
    <x v="10"/>
    <x v="34"/>
    <x v="296"/>
    <x v="1"/>
    <n v="2"/>
    <n v="12"/>
  </r>
  <r>
    <x v="472"/>
    <x v="2"/>
    <x v="3"/>
    <x v="0"/>
    <n v="26"/>
    <x v="1"/>
    <x v="12"/>
    <x v="39"/>
    <x v="297"/>
    <x v="0"/>
    <n v="1"/>
    <n v="28"/>
  </r>
  <r>
    <x v="473"/>
    <x v="0"/>
    <x v="8"/>
    <x v="1"/>
    <n v="27"/>
    <x v="1"/>
    <x v="12"/>
    <x v="38"/>
    <x v="297"/>
    <x v="1"/>
    <n v="4"/>
    <n v="19"/>
  </r>
  <r>
    <x v="474"/>
    <x v="2"/>
    <x v="18"/>
    <x v="0"/>
    <n v="35"/>
    <x v="0"/>
    <x v="11"/>
    <x v="36"/>
    <x v="298"/>
    <x v="1"/>
    <n v="4"/>
    <n v="8"/>
  </r>
  <r>
    <x v="475"/>
    <x v="2"/>
    <x v="3"/>
    <x v="0"/>
    <n v="24"/>
    <x v="0"/>
    <x v="12"/>
    <x v="39"/>
    <x v="299"/>
    <x v="0"/>
    <n v="5"/>
    <n v="6"/>
  </r>
  <r>
    <x v="476"/>
    <x v="1"/>
    <x v="1"/>
    <x v="1"/>
    <n v="22"/>
    <x v="0"/>
    <x v="12"/>
    <x v="39"/>
    <x v="299"/>
    <x v="1"/>
    <n v="1"/>
    <n v="0"/>
  </r>
  <r>
    <x v="477"/>
    <x v="1"/>
    <x v="9"/>
    <x v="0"/>
    <n v="26"/>
    <x v="0"/>
    <x v="11"/>
    <x v="37"/>
    <x v="300"/>
    <x v="0"/>
    <n v="3"/>
    <n v="1"/>
  </r>
  <r>
    <x v="478"/>
    <x v="2"/>
    <x v="3"/>
    <x v="0"/>
    <n v="24"/>
    <x v="0"/>
    <x v="12"/>
    <x v="39"/>
    <x v="301"/>
    <x v="0"/>
    <n v="3"/>
    <n v="13"/>
  </r>
  <r>
    <x v="479"/>
    <x v="1"/>
    <x v="2"/>
    <x v="1"/>
    <n v="26"/>
    <x v="0"/>
    <x v="11"/>
    <x v="41"/>
    <x v="301"/>
    <x v="0"/>
    <n v="3"/>
    <n v="9"/>
  </r>
  <r>
    <x v="480"/>
    <x v="2"/>
    <x v="11"/>
    <x v="1"/>
    <n v="32"/>
    <x v="0"/>
    <x v="0"/>
    <x v="32"/>
    <x v="302"/>
    <x v="0"/>
    <n v="2"/>
    <n v="4"/>
  </r>
  <r>
    <x v="481"/>
    <x v="4"/>
    <x v="6"/>
    <x v="0"/>
    <n v="34"/>
    <x v="2"/>
    <x v="0"/>
    <x v="32"/>
    <x v="303"/>
    <x v="1"/>
    <n v="1"/>
    <n v="12"/>
  </r>
  <r>
    <x v="482"/>
    <x v="1"/>
    <x v="13"/>
    <x v="0"/>
    <n v="23"/>
    <x v="3"/>
    <x v="15"/>
    <x v="41"/>
    <x v="304"/>
    <x v="3"/>
    <n v="1"/>
    <n v="16"/>
  </r>
  <r>
    <x v="483"/>
    <x v="4"/>
    <x v="6"/>
    <x v="0"/>
    <n v="32"/>
    <x v="0"/>
    <x v="11"/>
    <x v="27"/>
    <x v="305"/>
    <x v="1"/>
    <n v="3"/>
    <n v="11"/>
  </r>
  <r>
    <x v="484"/>
    <x v="5"/>
    <x v="14"/>
    <x v="0"/>
    <n v="36"/>
    <x v="0"/>
    <x v="14"/>
    <x v="34"/>
    <x v="306"/>
    <x v="0"/>
    <n v="3"/>
    <n v="4"/>
  </r>
  <r>
    <x v="485"/>
    <x v="4"/>
    <x v="6"/>
    <x v="1"/>
    <n v="26"/>
    <x v="2"/>
    <x v="11"/>
    <x v="40"/>
    <x v="306"/>
    <x v="0"/>
    <n v="2"/>
    <n v="2"/>
  </r>
  <r>
    <x v="486"/>
    <x v="1"/>
    <x v="1"/>
    <x v="0"/>
    <n v="23"/>
    <x v="0"/>
    <x v="12"/>
    <x v="39"/>
    <x v="307"/>
    <x v="0"/>
    <n v="3"/>
    <n v="20"/>
  </r>
  <r>
    <x v="487"/>
    <x v="4"/>
    <x v="12"/>
    <x v="0"/>
    <n v="27"/>
    <x v="0"/>
    <x v="12"/>
    <x v="40"/>
    <x v="308"/>
    <x v="0"/>
    <n v="2"/>
    <n v="20"/>
  </r>
  <r>
    <x v="488"/>
    <x v="5"/>
    <x v="15"/>
    <x v="0"/>
    <n v="38"/>
    <x v="0"/>
    <x v="5"/>
    <x v="29"/>
    <x v="309"/>
    <x v="0"/>
    <n v="3"/>
    <n v="7"/>
  </r>
  <r>
    <x v="489"/>
    <x v="2"/>
    <x v="18"/>
    <x v="0"/>
    <n v="30"/>
    <x v="0"/>
    <x v="11"/>
    <x v="40"/>
    <x v="310"/>
    <x v="2"/>
    <n v="3"/>
    <n v="7"/>
  </r>
  <r>
    <x v="490"/>
    <x v="2"/>
    <x v="3"/>
    <x v="1"/>
    <n v="22"/>
    <x v="0"/>
    <x v="12"/>
    <x v="39"/>
    <x v="310"/>
    <x v="0"/>
    <n v="1"/>
    <n v="19"/>
  </r>
  <r>
    <x v="491"/>
    <x v="0"/>
    <x v="8"/>
    <x v="0"/>
    <n v="21"/>
    <x v="0"/>
    <x v="12"/>
    <x v="39"/>
    <x v="310"/>
    <x v="0"/>
    <n v="4"/>
    <n v="7"/>
  </r>
  <r>
    <x v="492"/>
    <x v="4"/>
    <x v="5"/>
    <x v="1"/>
    <n v="21"/>
    <x v="1"/>
    <x v="12"/>
    <x v="39"/>
    <x v="311"/>
    <x v="1"/>
    <n v="4"/>
    <n v="14"/>
  </r>
  <r>
    <x v="493"/>
    <x v="1"/>
    <x v="9"/>
    <x v="0"/>
    <n v="26"/>
    <x v="1"/>
    <x v="12"/>
    <x v="39"/>
    <x v="312"/>
    <x v="0"/>
    <n v="3"/>
    <n v="7"/>
  </r>
  <r>
    <x v="494"/>
    <x v="3"/>
    <x v="17"/>
    <x v="1"/>
    <n v="33"/>
    <x v="1"/>
    <x v="3"/>
    <x v="36"/>
    <x v="313"/>
    <x v="0"/>
    <n v="2"/>
    <n v="11"/>
  </r>
  <r>
    <x v="495"/>
    <x v="2"/>
    <x v="18"/>
    <x v="1"/>
    <n v="36"/>
    <x v="3"/>
    <x v="0"/>
    <x v="27"/>
    <x v="314"/>
    <x v="0"/>
    <n v="4"/>
    <n v="12"/>
  </r>
  <r>
    <x v="496"/>
    <x v="2"/>
    <x v="18"/>
    <x v="0"/>
    <n v="27"/>
    <x v="0"/>
    <x v="3"/>
    <x v="36"/>
    <x v="315"/>
    <x v="4"/>
    <n v="4"/>
    <n v="1"/>
  </r>
  <r>
    <x v="497"/>
    <x v="4"/>
    <x v="12"/>
    <x v="0"/>
    <n v="29"/>
    <x v="2"/>
    <x v="11"/>
    <x v="28"/>
    <x v="315"/>
    <x v="0"/>
    <n v="3"/>
    <n v="15"/>
  </r>
  <r>
    <x v="498"/>
    <x v="5"/>
    <x v="15"/>
    <x v="0"/>
    <n v="34"/>
    <x v="0"/>
    <x v="7"/>
    <x v="27"/>
    <x v="315"/>
    <x v="1"/>
    <n v="3"/>
    <n v="16"/>
  </r>
  <r>
    <x v="499"/>
    <x v="1"/>
    <x v="2"/>
    <x v="0"/>
    <n v="22"/>
    <x v="0"/>
    <x v="12"/>
    <x v="39"/>
    <x v="316"/>
    <x v="4"/>
    <n v="5"/>
    <n v="3"/>
  </r>
  <r>
    <x v="500"/>
    <x v="3"/>
    <x v="17"/>
    <x v="0"/>
    <n v="29"/>
    <x v="0"/>
    <x v="0"/>
    <x v="28"/>
    <x v="316"/>
    <x v="0"/>
    <n v="4"/>
    <n v="8"/>
  </r>
  <r>
    <x v="501"/>
    <x v="5"/>
    <x v="14"/>
    <x v="1"/>
    <n v="27"/>
    <x v="2"/>
    <x v="14"/>
    <x v="28"/>
    <x v="316"/>
    <x v="0"/>
    <n v="3"/>
    <n v="11"/>
  </r>
  <r>
    <x v="502"/>
    <x v="3"/>
    <x v="10"/>
    <x v="1"/>
    <n v="21"/>
    <x v="1"/>
    <x v="12"/>
    <x v="39"/>
    <x v="317"/>
    <x v="0"/>
    <n v="4"/>
    <n v="15"/>
  </r>
  <r>
    <x v="503"/>
    <x v="1"/>
    <x v="1"/>
    <x v="1"/>
    <n v="31"/>
    <x v="1"/>
    <x v="4"/>
    <x v="38"/>
    <x v="318"/>
    <x v="0"/>
    <n v="2"/>
    <n v="3"/>
  </r>
  <r>
    <x v="504"/>
    <x v="1"/>
    <x v="13"/>
    <x v="1"/>
    <n v="32"/>
    <x v="0"/>
    <x v="15"/>
    <x v="35"/>
    <x v="318"/>
    <x v="1"/>
    <n v="3"/>
    <n v="6"/>
  </r>
  <r>
    <x v="505"/>
    <x v="1"/>
    <x v="9"/>
    <x v="0"/>
    <n v="28"/>
    <x v="0"/>
    <x v="12"/>
    <x v="38"/>
    <x v="318"/>
    <x v="1"/>
    <n v="2"/>
    <n v="10"/>
  </r>
  <r>
    <x v="506"/>
    <x v="3"/>
    <x v="10"/>
    <x v="1"/>
    <n v="24"/>
    <x v="0"/>
    <x v="12"/>
    <x v="39"/>
    <x v="319"/>
    <x v="0"/>
    <n v="3"/>
    <n v="23"/>
  </r>
  <r>
    <x v="507"/>
    <x v="4"/>
    <x v="5"/>
    <x v="0"/>
    <n v="21"/>
    <x v="0"/>
    <x v="12"/>
    <x v="39"/>
    <x v="320"/>
    <x v="1"/>
    <n v="4"/>
    <n v="7"/>
  </r>
  <r>
    <x v="508"/>
    <x v="3"/>
    <x v="10"/>
    <x v="0"/>
    <n v="22"/>
    <x v="0"/>
    <x v="11"/>
    <x v="37"/>
    <x v="321"/>
    <x v="4"/>
    <n v="3"/>
    <n v="0"/>
  </r>
  <r>
    <x v="509"/>
    <x v="2"/>
    <x v="18"/>
    <x v="0"/>
    <n v="30"/>
    <x v="0"/>
    <x v="15"/>
    <x v="40"/>
    <x v="321"/>
    <x v="0"/>
    <n v="2"/>
    <n v="9"/>
  </r>
  <r>
    <x v="510"/>
    <x v="4"/>
    <x v="5"/>
    <x v="1"/>
    <n v="21"/>
    <x v="0"/>
    <x v="12"/>
    <x v="39"/>
    <x v="322"/>
    <x v="1"/>
    <n v="2"/>
    <n v="0"/>
  </r>
  <r>
    <x v="511"/>
    <x v="3"/>
    <x v="10"/>
    <x v="1"/>
    <n v="21"/>
    <x v="2"/>
    <x v="12"/>
    <x v="39"/>
    <x v="322"/>
    <x v="3"/>
    <n v="4"/>
    <n v="18"/>
  </r>
  <r>
    <x v="512"/>
    <x v="2"/>
    <x v="18"/>
    <x v="0"/>
    <n v="36"/>
    <x v="0"/>
    <x v="11"/>
    <x v="32"/>
    <x v="322"/>
    <x v="1"/>
    <n v="4"/>
    <n v="0"/>
  </r>
  <r>
    <x v="513"/>
    <x v="5"/>
    <x v="7"/>
    <x v="1"/>
    <n v="30"/>
    <x v="2"/>
    <x v="3"/>
    <x v="36"/>
    <x v="322"/>
    <x v="2"/>
    <n v="4"/>
    <n v="24"/>
  </r>
  <r>
    <x v="514"/>
    <x v="5"/>
    <x v="14"/>
    <x v="1"/>
    <n v="32"/>
    <x v="3"/>
    <x v="13"/>
    <x v="35"/>
    <x v="323"/>
    <x v="0"/>
    <n v="5"/>
    <n v="20"/>
  </r>
  <r>
    <x v="515"/>
    <x v="3"/>
    <x v="17"/>
    <x v="0"/>
    <n v="33"/>
    <x v="0"/>
    <x v="0"/>
    <x v="36"/>
    <x v="323"/>
    <x v="3"/>
    <n v="4"/>
    <n v="12"/>
  </r>
  <r>
    <x v="516"/>
    <x v="2"/>
    <x v="3"/>
    <x v="1"/>
    <n v="23"/>
    <x v="2"/>
    <x v="12"/>
    <x v="39"/>
    <x v="324"/>
    <x v="0"/>
    <n v="1"/>
    <n v="7"/>
  </r>
  <r>
    <x v="517"/>
    <x v="1"/>
    <x v="9"/>
    <x v="0"/>
    <n v="24"/>
    <x v="0"/>
    <x v="12"/>
    <x v="37"/>
    <x v="324"/>
    <x v="1"/>
    <n v="3"/>
    <n v="20"/>
  </r>
  <r>
    <x v="518"/>
    <x v="4"/>
    <x v="12"/>
    <x v="0"/>
    <n v="40"/>
    <x v="0"/>
    <x v="12"/>
    <x v="17"/>
    <x v="325"/>
    <x v="2"/>
    <n v="3"/>
    <n v="6"/>
  </r>
  <r>
    <x v="519"/>
    <x v="5"/>
    <x v="15"/>
    <x v="1"/>
    <n v="28"/>
    <x v="0"/>
    <x v="13"/>
    <x v="40"/>
    <x v="326"/>
    <x v="0"/>
    <n v="3"/>
    <n v="17"/>
  </r>
  <r>
    <x v="520"/>
    <x v="5"/>
    <x v="15"/>
    <x v="0"/>
    <n v="35"/>
    <x v="2"/>
    <x v="11"/>
    <x v="27"/>
    <x v="327"/>
    <x v="1"/>
    <n v="4"/>
    <n v="12"/>
  </r>
  <r>
    <x v="521"/>
    <x v="4"/>
    <x v="12"/>
    <x v="0"/>
    <n v="27"/>
    <x v="0"/>
    <x v="11"/>
    <x v="37"/>
    <x v="328"/>
    <x v="0"/>
    <n v="4"/>
    <n v="6"/>
  </r>
  <r>
    <x v="522"/>
    <x v="3"/>
    <x v="4"/>
    <x v="1"/>
    <n v="24"/>
    <x v="0"/>
    <x v="12"/>
    <x v="39"/>
    <x v="329"/>
    <x v="3"/>
    <n v="4"/>
    <n v="15"/>
  </r>
  <r>
    <x v="523"/>
    <x v="5"/>
    <x v="14"/>
    <x v="1"/>
    <n v="35"/>
    <x v="1"/>
    <x v="4"/>
    <x v="40"/>
    <x v="330"/>
    <x v="3"/>
    <n v="2"/>
    <n v="10"/>
  </r>
  <r>
    <x v="524"/>
    <x v="3"/>
    <x v="4"/>
    <x v="0"/>
    <n v="25"/>
    <x v="0"/>
    <x v="12"/>
    <x v="39"/>
    <x v="331"/>
    <x v="4"/>
    <n v="3"/>
    <n v="11"/>
  </r>
  <r>
    <x v="525"/>
    <x v="5"/>
    <x v="15"/>
    <x v="0"/>
    <n v="27"/>
    <x v="0"/>
    <x v="4"/>
    <x v="36"/>
    <x v="332"/>
    <x v="1"/>
    <n v="4"/>
    <n v="22"/>
  </r>
  <r>
    <x v="526"/>
    <x v="4"/>
    <x v="6"/>
    <x v="0"/>
    <n v="39"/>
    <x v="0"/>
    <x v="15"/>
    <x v="29"/>
    <x v="333"/>
    <x v="0"/>
    <n v="4"/>
    <n v="0"/>
  </r>
  <r>
    <x v="527"/>
    <x v="3"/>
    <x v="4"/>
    <x v="1"/>
    <n v="22"/>
    <x v="0"/>
    <x v="11"/>
    <x v="37"/>
    <x v="334"/>
    <x v="0"/>
    <n v="3"/>
    <n v="13"/>
  </r>
  <r>
    <x v="528"/>
    <x v="1"/>
    <x v="13"/>
    <x v="0"/>
    <n v="27"/>
    <x v="0"/>
    <x v="11"/>
    <x v="37"/>
    <x v="334"/>
    <x v="3"/>
    <n v="1"/>
    <n v="14"/>
  </r>
  <r>
    <x v="529"/>
    <x v="2"/>
    <x v="18"/>
    <x v="0"/>
    <n v="29"/>
    <x v="1"/>
    <x v="4"/>
    <x v="32"/>
    <x v="335"/>
    <x v="1"/>
    <n v="3"/>
    <n v="13"/>
  </r>
  <r>
    <x v="530"/>
    <x v="1"/>
    <x v="2"/>
    <x v="0"/>
    <n v="21"/>
    <x v="2"/>
    <x v="12"/>
    <x v="39"/>
    <x v="335"/>
    <x v="1"/>
    <n v="4"/>
    <n v="23"/>
  </r>
  <r>
    <x v="531"/>
    <x v="2"/>
    <x v="11"/>
    <x v="1"/>
    <n v="21"/>
    <x v="0"/>
    <x v="12"/>
    <x v="39"/>
    <x v="336"/>
    <x v="0"/>
    <n v="3"/>
    <n v="11"/>
  </r>
  <r>
    <x v="532"/>
    <x v="1"/>
    <x v="13"/>
    <x v="0"/>
    <n v="30"/>
    <x v="0"/>
    <x v="0"/>
    <x v="30"/>
    <x v="337"/>
    <x v="1"/>
    <n v="2"/>
    <n v="17"/>
  </r>
  <r>
    <x v="533"/>
    <x v="2"/>
    <x v="3"/>
    <x v="1"/>
    <n v="28"/>
    <x v="2"/>
    <x v="4"/>
    <x v="38"/>
    <x v="338"/>
    <x v="0"/>
    <n v="3"/>
    <n v="12"/>
  </r>
  <r>
    <x v="534"/>
    <x v="0"/>
    <x v="16"/>
    <x v="0"/>
    <n v="34"/>
    <x v="2"/>
    <x v="11"/>
    <x v="40"/>
    <x v="339"/>
    <x v="0"/>
    <n v="3"/>
    <n v="8"/>
  </r>
  <r>
    <x v="535"/>
    <x v="0"/>
    <x v="16"/>
    <x v="0"/>
    <n v="24"/>
    <x v="0"/>
    <x v="11"/>
    <x v="37"/>
    <x v="340"/>
    <x v="0"/>
    <n v="4"/>
    <n v="20"/>
  </r>
  <r>
    <x v="536"/>
    <x v="4"/>
    <x v="6"/>
    <x v="1"/>
    <n v="26"/>
    <x v="0"/>
    <x v="0"/>
    <x v="30"/>
    <x v="341"/>
    <x v="2"/>
    <n v="3"/>
    <n v="32"/>
  </r>
  <r>
    <x v="537"/>
    <x v="0"/>
    <x v="16"/>
    <x v="1"/>
    <n v="29"/>
    <x v="3"/>
    <x v="4"/>
    <x v="35"/>
    <x v="342"/>
    <x v="3"/>
    <n v="5"/>
    <n v="1"/>
  </r>
  <r>
    <x v="538"/>
    <x v="4"/>
    <x v="6"/>
    <x v="1"/>
    <n v="27"/>
    <x v="1"/>
    <x v="12"/>
    <x v="39"/>
    <x v="343"/>
    <x v="1"/>
    <n v="5"/>
    <n v="17"/>
  </r>
  <r>
    <x v="539"/>
    <x v="4"/>
    <x v="12"/>
    <x v="0"/>
    <n v="28"/>
    <x v="0"/>
    <x v="15"/>
    <x v="41"/>
    <x v="343"/>
    <x v="0"/>
    <n v="3"/>
    <n v="6"/>
  </r>
  <r>
    <x v="540"/>
    <x v="1"/>
    <x v="13"/>
    <x v="1"/>
    <n v="22"/>
    <x v="0"/>
    <x v="12"/>
    <x v="39"/>
    <x v="344"/>
    <x v="1"/>
    <n v="5"/>
    <n v="10"/>
  </r>
  <r>
    <x v="541"/>
    <x v="4"/>
    <x v="12"/>
    <x v="0"/>
    <n v="32"/>
    <x v="1"/>
    <x v="15"/>
    <x v="36"/>
    <x v="344"/>
    <x v="0"/>
    <n v="3"/>
    <n v="18"/>
  </r>
  <r>
    <x v="542"/>
    <x v="5"/>
    <x v="14"/>
    <x v="0"/>
    <n v="22"/>
    <x v="2"/>
    <x v="11"/>
    <x v="38"/>
    <x v="345"/>
    <x v="1"/>
    <n v="3"/>
    <n v="0"/>
  </r>
  <r>
    <x v="543"/>
    <x v="2"/>
    <x v="18"/>
    <x v="1"/>
    <n v="26"/>
    <x v="1"/>
    <x v="13"/>
    <x v="40"/>
    <x v="345"/>
    <x v="0"/>
    <n v="3"/>
    <n v="1"/>
  </r>
  <r>
    <x v="544"/>
    <x v="3"/>
    <x v="17"/>
    <x v="0"/>
    <n v="37"/>
    <x v="1"/>
    <x v="14"/>
    <x v="33"/>
    <x v="346"/>
    <x v="1"/>
    <n v="1"/>
    <n v="7"/>
  </r>
  <r>
    <x v="545"/>
    <x v="3"/>
    <x v="10"/>
    <x v="1"/>
    <n v="23"/>
    <x v="0"/>
    <x v="12"/>
    <x v="39"/>
    <x v="346"/>
    <x v="0"/>
    <n v="4"/>
    <n v="14"/>
  </r>
  <r>
    <x v="546"/>
    <x v="3"/>
    <x v="17"/>
    <x v="1"/>
    <n v="25"/>
    <x v="0"/>
    <x v="15"/>
    <x v="35"/>
    <x v="347"/>
    <x v="1"/>
    <n v="2"/>
    <n v="11"/>
  </r>
  <r>
    <x v="547"/>
    <x v="5"/>
    <x v="15"/>
    <x v="1"/>
    <n v="24"/>
    <x v="0"/>
    <x v="11"/>
    <x v="41"/>
    <x v="348"/>
    <x v="2"/>
    <n v="3"/>
    <n v="7"/>
  </r>
  <r>
    <x v="548"/>
    <x v="5"/>
    <x v="14"/>
    <x v="0"/>
    <n v="23"/>
    <x v="2"/>
    <x v="15"/>
    <x v="41"/>
    <x v="349"/>
    <x v="3"/>
    <n v="3"/>
    <n v="13"/>
  </r>
  <r>
    <x v="549"/>
    <x v="5"/>
    <x v="15"/>
    <x v="0"/>
    <n v="31"/>
    <x v="3"/>
    <x v="4"/>
    <x v="41"/>
    <x v="349"/>
    <x v="0"/>
    <n v="4"/>
    <n v="10"/>
  </r>
  <r>
    <x v="550"/>
    <x v="5"/>
    <x v="15"/>
    <x v="0"/>
    <n v="27"/>
    <x v="0"/>
    <x v="15"/>
    <x v="41"/>
    <x v="349"/>
    <x v="0"/>
    <n v="5"/>
    <n v="23"/>
  </r>
  <r>
    <x v="551"/>
    <x v="0"/>
    <x v="8"/>
    <x v="1"/>
    <n v="25"/>
    <x v="0"/>
    <x v="12"/>
    <x v="41"/>
    <x v="350"/>
    <x v="0"/>
    <n v="4"/>
    <n v="11"/>
  </r>
  <r>
    <x v="552"/>
    <x v="2"/>
    <x v="18"/>
    <x v="1"/>
    <n v="23"/>
    <x v="0"/>
    <x v="12"/>
    <x v="39"/>
    <x v="351"/>
    <x v="3"/>
    <n v="4"/>
    <n v="2"/>
  </r>
  <r>
    <x v="553"/>
    <x v="4"/>
    <x v="6"/>
    <x v="1"/>
    <n v="22"/>
    <x v="0"/>
    <x v="15"/>
    <x v="35"/>
    <x v="352"/>
    <x v="4"/>
    <n v="4"/>
    <n v="18"/>
  </r>
  <r>
    <x v="554"/>
    <x v="5"/>
    <x v="7"/>
    <x v="0"/>
    <n v="31"/>
    <x v="1"/>
    <x v="11"/>
    <x v="41"/>
    <x v="352"/>
    <x v="3"/>
    <n v="5"/>
    <n v="17"/>
  </r>
  <r>
    <x v="555"/>
    <x v="5"/>
    <x v="14"/>
    <x v="0"/>
    <n v="35"/>
    <x v="1"/>
    <x v="12"/>
    <x v="29"/>
    <x v="353"/>
    <x v="0"/>
    <n v="3"/>
    <n v="0"/>
  </r>
  <r>
    <x v="556"/>
    <x v="5"/>
    <x v="15"/>
    <x v="1"/>
    <n v="30"/>
    <x v="2"/>
    <x v="12"/>
    <x v="41"/>
    <x v="354"/>
    <x v="2"/>
    <n v="2"/>
    <n v="5"/>
  </r>
  <r>
    <x v="557"/>
    <x v="4"/>
    <x v="6"/>
    <x v="1"/>
    <n v="25"/>
    <x v="0"/>
    <x v="4"/>
    <x v="38"/>
    <x v="354"/>
    <x v="0"/>
    <n v="3"/>
    <n v="9"/>
  </r>
  <r>
    <x v="558"/>
    <x v="3"/>
    <x v="10"/>
    <x v="1"/>
    <n v="21"/>
    <x v="0"/>
    <x v="12"/>
    <x v="39"/>
    <x v="355"/>
    <x v="1"/>
    <n v="3"/>
    <n v="0"/>
  </r>
  <r>
    <x v="559"/>
    <x v="0"/>
    <x v="8"/>
    <x v="0"/>
    <n v="22"/>
    <x v="1"/>
    <x v="12"/>
    <x v="39"/>
    <x v="356"/>
    <x v="3"/>
    <n v="3"/>
    <n v="2"/>
  </r>
  <r>
    <x v="560"/>
    <x v="3"/>
    <x v="17"/>
    <x v="0"/>
    <n v="26"/>
    <x v="2"/>
    <x v="11"/>
    <x v="38"/>
    <x v="357"/>
    <x v="0"/>
    <n v="3"/>
    <n v="7"/>
  </r>
  <r>
    <x v="561"/>
    <x v="3"/>
    <x v="4"/>
    <x v="0"/>
    <n v="24"/>
    <x v="1"/>
    <x v="12"/>
    <x v="39"/>
    <x v="358"/>
    <x v="0"/>
    <n v="3"/>
    <n v="11"/>
  </r>
  <r>
    <x v="562"/>
    <x v="4"/>
    <x v="6"/>
    <x v="1"/>
    <n v="28"/>
    <x v="3"/>
    <x v="13"/>
    <x v="33"/>
    <x v="359"/>
    <x v="1"/>
    <n v="4"/>
    <n v="13"/>
  </r>
  <r>
    <x v="563"/>
    <x v="5"/>
    <x v="15"/>
    <x v="0"/>
    <n v="21"/>
    <x v="0"/>
    <x v="12"/>
    <x v="39"/>
    <x v="359"/>
    <x v="2"/>
    <n v="3"/>
    <n v="19"/>
  </r>
  <r>
    <x v="564"/>
    <x v="5"/>
    <x v="14"/>
    <x v="0"/>
    <n v="24"/>
    <x v="0"/>
    <x v="12"/>
    <x v="39"/>
    <x v="359"/>
    <x v="0"/>
    <n v="3"/>
    <n v="1"/>
  </r>
  <r>
    <x v="565"/>
    <x v="2"/>
    <x v="18"/>
    <x v="1"/>
    <n v="30"/>
    <x v="0"/>
    <x v="11"/>
    <x v="28"/>
    <x v="360"/>
    <x v="2"/>
    <n v="3"/>
    <n v="14"/>
  </r>
  <r>
    <x v="566"/>
    <x v="3"/>
    <x v="17"/>
    <x v="1"/>
    <n v="31"/>
    <x v="0"/>
    <x v="12"/>
    <x v="40"/>
    <x v="360"/>
    <x v="3"/>
    <n v="3"/>
    <n v="0"/>
  </r>
  <r>
    <x v="567"/>
    <x v="4"/>
    <x v="6"/>
    <x v="1"/>
    <n v="30"/>
    <x v="0"/>
    <x v="4"/>
    <x v="38"/>
    <x v="361"/>
    <x v="0"/>
    <n v="2"/>
    <n v="13"/>
  </r>
  <r>
    <x v="568"/>
    <x v="2"/>
    <x v="18"/>
    <x v="0"/>
    <n v="24"/>
    <x v="0"/>
    <x v="11"/>
    <x v="37"/>
    <x v="362"/>
    <x v="0"/>
    <n v="5"/>
    <n v="0"/>
  </r>
  <r>
    <x v="569"/>
    <x v="1"/>
    <x v="13"/>
    <x v="0"/>
    <n v="21"/>
    <x v="3"/>
    <x v="11"/>
    <x v="37"/>
    <x v="363"/>
    <x v="1"/>
    <n v="3"/>
    <n v="4"/>
  </r>
  <r>
    <x v="570"/>
    <x v="2"/>
    <x v="18"/>
    <x v="1"/>
    <n v="24"/>
    <x v="0"/>
    <x v="12"/>
    <x v="39"/>
    <x v="363"/>
    <x v="0"/>
    <n v="3"/>
    <n v="16"/>
  </r>
  <r>
    <x v="571"/>
    <x v="5"/>
    <x v="15"/>
    <x v="0"/>
    <n v="27"/>
    <x v="0"/>
    <x v="11"/>
    <x v="30"/>
    <x v="363"/>
    <x v="0"/>
    <n v="4"/>
    <n v="10"/>
  </r>
  <r>
    <x v="572"/>
    <x v="0"/>
    <x v="16"/>
    <x v="1"/>
    <n v="26"/>
    <x v="0"/>
    <x v="12"/>
    <x v="39"/>
    <x v="364"/>
    <x v="0"/>
    <n v="3"/>
    <n v="7"/>
  </r>
  <r>
    <x v="573"/>
    <x v="1"/>
    <x v="13"/>
    <x v="1"/>
    <n v="21"/>
    <x v="1"/>
    <x v="12"/>
    <x v="39"/>
    <x v="364"/>
    <x v="1"/>
    <n v="4"/>
    <n v="27"/>
  </r>
  <r>
    <x v="574"/>
    <x v="5"/>
    <x v="14"/>
    <x v="1"/>
    <n v="25"/>
    <x v="0"/>
    <x v="12"/>
    <x v="30"/>
    <x v="365"/>
    <x v="1"/>
    <n v="5"/>
    <n v="2"/>
  </r>
  <r>
    <x v="575"/>
    <x v="2"/>
    <x v="11"/>
    <x v="0"/>
    <n v="27"/>
    <x v="0"/>
    <x v="12"/>
    <x v="39"/>
    <x v="365"/>
    <x v="4"/>
    <n v="3"/>
    <n v="9"/>
  </r>
  <r>
    <x v="576"/>
    <x v="4"/>
    <x v="6"/>
    <x v="1"/>
    <n v="22"/>
    <x v="0"/>
    <x v="12"/>
    <x v="39"/>
    <x v="366"/>
    <x v="0"/>
    <n v="1"/>
    <n v="11"/>
  </r>
  <r>
    <x v="577"/>
    <x v="5"/>
    <x v="14"/>
    <x v="1"/>
    <n v="30"/>
    <x v="0"/>
    <x v="0"/>
    <x v="30"/>
    <x v="367"/>
    <x v="1"/>
    <n v="5"/>
    <n v="0"/>
  </r>
  <r>
    <x v="578"/>
    <x v="2"/>
    <x v="11"/>
    <x v="1"/>
    <n v="26"/>
    <x v="3"/>
    <x v="12"/>
    <x v="39"/>
    <x v="367"/>
    <x v="0"/>
    <n v="3"/>
    <n v="3"/>
  </r>
  <r>
    <x v="579"/>
    <x v="2"/>
    <x v="18"/>
    <x v="1"/>
    <n v="30"/>
    <x v="0"/>
    <x v="15"/>
    <x v="32"/>
    <x v="368"/>
    <x v="0"/>
    <n v="3"/>
    <n v="23"/>
  </r>
  <r>
    <x v="580"/>
    <x v="0"/>
    <x v="16"/>
    <x v="1"/>
    <n v="27"/>
    <x v="0"/>
    <x v="12"/>
    <x v="39"/>
    <x v="369"/>
    <x v="4"/>
    <n v="4"/>
    <n v="10"/>
  </r>
  <r>
    <x v="581"/>
    <x v="5"/>
    <x v="15"/>
    <x v="1"/>
    <n v="30"/>
    <x v="3"/>
    <x v="11"/>
    <x v="37"/>
    <x v="370"/>
    <x v="3"/>
    <n v="3"/>
    <n v="8"/>
  </r>
  <r>
    <x v="582"/>
    <x v="5"/>
    <x v="15"/>
    <x v="1"/>
    <n v="27"/>
    <x v="0"/>
    <x v="12"/>
    <x v="37"/>
    <x v="371"/>
    <x v="1"/>
    <n v="4"/>
    <n v="5"/>
  </r>
  <r>
    <x v="583"/>
    <x v="3"/>
    <x v="17"/>
    <x v="0"/>
    <n v="23"/>
    <x v="0"/>
    <x v="12"/>
    <x v="39"/>
    <x v="372"/>
    <x v="1"/>
    <n v="3"/>
    <n v="4"/>
  </r>
  <r>
    <x v="584"/>
    <x v="4"/>
    <x v="6"/>
    <x v="0"/>
    <n v="31"/>
    <x v="0"/>
    <x v="15"/>
    <x v="36"/>
    <x v="373"/>
    <x v="0"/>
    <n v="2"/>
    <n v="0"/>
  </r>
  <r>
    <x v="585"/>
    <x v="3"/>
    <x v="17"/>
    <x v="0"/>
    <n v="26"/>
    <x v="0"/>
    <x v="15"/>
    <x v="41"/>
    <x v="374"/>
    <x v="3"/>
    <n v="3"/>
    <n v="13"/>
  </r>
  <r>
    <x v="586"/>
    <x v="5"/>
    <x v="15"/>
    <x v="0"/>
    <n v="23"/>
    <x v="1"/>
    <x v="13"/>
    <x v="40"/>
    <x v="374"/>
    <x v="1"/>
    <n v="4"/>
    <n v="8"/>
  </r>
  <r>
    <x v="587"/>
    <x v="5"/>
    <x v="14"/>
    <x v="1"/>
    <n v="21"/>
    <x v="0"/>
    <x v="12"/>
    <x v="39"/>
    <x v="375"/>
    <x v="0"/>
    <n v="4"/>
    <n v="16"/>
  </r>
  <r>
    <x v="588"/>
    <x v="3"/>
    <x v="17"/>
    <x v="1"/>
    <n v="22"/>
    <x v="2"/>
    <x v="12"/>
    <x v="39"/>
    <x v="376"/>
    <x v="1"/>
    <n v="3"/>
    <n v="11"/>
  </r>
  <r>
    <x v="589"/>
    <x v="4"/>
    <x v="12"/>
    <x v="1"/>
    <n v="25"/>
    <x v="1"/>
    <x v="12"/>
    <x v="39"/>
    <x v="377"/>
    <x v="0"/>
    <n v="1"/>
    <n v="19"/>
  </r>
  <r>
    <x v="590"/>
    <x v="2"/>
    <x v="18"/>
    <x v="0"/>
    <n v="23"/>
    <x v="1"/>
    <x v="12"/>
    <x v="39"/>
    <x v="378"/>
    <x v="3"/>
    <n v="3"/>
    <n v="10"/>
  </r>
  <r>
    <x v="591"/>
    <x v="4"/>
    <x v="6"/>
    <x v="0"/>
    <n v="25"/>
    <x v="1"/>
    <x v="12"/>
    <x v="39"/>
    <x v="378"/>
    <x v="0"/>
    <n v="3"/>
    <n v="10"/>
  </r>
  <r>
    <x v="592"/>
    <x v="3"/>
    <x v="17"/>
    <x v="0"/>
    <n v="25"/>
    <x v="2"/>
    <x v="12"/>
    <x v="35"/>
    <x v="379"/>
    <x v="3"/>
    <n v="4"/>
    <n v="6"/>
  </r>
  <r>
    <x v="593"/>
    <x v="3"/>
    <x v="17"/>
    <x v="1"/>
    <n v="24"/>
    <x v="0"/>
    <x v="12"/>
    <x v="39"/>
    <x v="380"/>
    <x v="3"/>
    <n v="3"/>
    <n v="0"/>
  </r>
  <r>
    <x v="594"/>
    <x v="4"/>
    <x v="6"/>
    <x v="1"/>
    <n v="27"/>
    <x v="0"/>
    <x v="12"/>
    <x v="39"/>
    <x v="381"/>
    <x v="0"/>
    <n v="4"/>
    <n v="6"/>
  </r>
  <r>
    <x v="595"/>
    <x v="4"/>
    <x v="12"/>
    <x v="0"/>
    <n v="23"/>
    <x v="0"/>
    <x v="12"/>
    <x v="39"/>
    <x v="382"/>
    <x v="0"/>
    <n v="1"/>
    <n v="9"/>
  </r>
  <r>
    <x v="596"/>
    <x v="5"/>
    <x v="15"/>
    <x v="1"/>
    <n v="21"/>
    <x v="1"/>
    <x v="12"/>
    <x v="39"/>
    <x v="383"/>
    <x v="1"/>
    <n v="2"/>
    <n v="15"/>
  </r>
  <r>
    <x v="597"/>
    <x v="4"/>
    <x v="6"/>
    <x v="1"/>
    <n v="27"/>
    <x v="2"/>
    <x v="12"/>
    <x v="39"/>
    <x v="384"/>
    <x v="2"/>
    <n v="4"/>
    <n v="18"/>
  </r>
  <r>
    <x v="598"/>
    <x v="0"/>
    <x v="16"/>
    <x v="1"/>
    <n v="26"/>
    <x v="0"/>
    <x v="12"/>
    <x v="39"/>
    <x v="385"/>
    <x v="3"/>
    <n v="4"/>
    <n v="3"/>
  </r>
  <r>
    <x v="599"/>
    <x v="5"/>
    <x v="15"/>
    <x v="0"/>
    <n v="22"/>
    <x v="0"/>
    <x v="12"/>
    <x v="35"/>
    <x v="386"/>
    <x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0" firstHeaderRow="1" firstDataRow="1" firstDataCol="1"/>
  <pivotFields count="12">
    <pivotField showAll="0"/>
    <pivotField axis="axisRow" showAll="0" sortType="descending">
      <items count="7">
        <item x="0"/>
        <item x="5"/>
        <item x="1"/>
        <item x="4"/>
        <item x="2"/>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items count="43">
        <item x="39"/>
        <item x="37"/>
        <item x="38"/>
        <item x="41"/>
        <item x="35"/>
        <item x="30"/>
        <item x="40"/>
        <item x="36"/>
        <item x="33"/>
        <item x="28"/>
        <item x="32"/>
        <item x="34"/>
        <item x="31"/>
        <item x="27"/>
        <item x="29"/>
        <item x="26"/>
        <item x="23"/>
        <item x="12"/>
        <item x="18"/>
        <item x="17"/>
        <item x="25"/>
        <item x="20"/>
        <item x="21"/>
        <item x="22"/>
        <item x="16"/>
        <item x="14"/>
        <item x="15"/>
        <item x="19"/>
        <item x="8"/>
        <item x="9"/>
        <item x="2"/>
        <item x="13"/>
        <item x="11"/>
        <item x="4"/>
        <item x="5"/>
        <item x="3"/>
        <item x="1"/>
        <item x="7"/>
        <item x="10"/>
        <item x="6"/>
        <item x="0"/>
        <item x="24"/>
        <item t="default"/>
      </items>
    </pivotField>
    <pivotField dataField="1" showAll="0"/>
    <pivotField showAll="0">
      <items count="6">
        <item x="4"/>
        <item x="2"/>
        <item x="0"/>
        <item x="1"/>
        <item x="3"/>
        <item t="default"/>
      </items>
    </pivotField>
    <pivotField showAll="0"/>
    <pivotField showAll="0"/>
  </pivotFields>
  <rowFields count="1">
    <field x="1"/>
  </rowFields>
  <rowItems count="7">
    <i>
      <x/>
    </i>
    <i>
      <x v="2"/>
    </i>
    <i>
      <x v="4"/>
    </i>
    <i>
      <x v="5"/>
    </i>
    <i>
      <x v="1"/>
    </i>
    <i>
      <x v="3"/>
    </i>
    <i t="grand">
      <x/>
    </i>
  </rowItems>
  <colItems count="1">
    <i/>
  </colItems>
  <dataFields count="1">
    <dataField name="Average of Monthly_Salary" fld="8" subtotal="average" baseField="1" baseItem="0" numFmtId="1"/>
  </dataFields>
  <formats count="3">
    <format dxfId="35">
      <pivotArea outline="0" collapsedLevelsAreSubtotals="1" fieldPosition="0"/>
    </format>
    <format dxfId="34">
      <pivotArea outline="0" collapsedLevelsAreSubtotals="1" fieldPosition="0"/>
    </format>
    <format dxfId="33">
      <pivotArea outline="0" collapsedLevelsAreSubtotals="1" fieldPosition="0"/>
    </format>
  </formats>
  <chartFormats count="3">
    <chartFormat chart="0"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3:B14" firstHeaderRow="1" firstDataRow="1" firstDataCol="1"/>
  <pivotFields count="12">
    <pivotField axis="axisRow" showAll="0" measureFilter="1" sortType="descending">
      <items count="601">
        <item x="463"/>
        <item x="128"/>
        <item x="590"/>
        <item x="499"/>
        <item x="598"/>
        <item x="33"/>
        <item x="351"/>
        <item x="223"/>
        <item x="40"/>
        <item x="445"/>
        <item x="249"/>
        <item x="314"/>
        <item x="432"/>
        <item x="542"/>
        <item x="475"/>
        <item x="210"/>
        <item x="214"/>
        <item x="2"/>
        <item x="259"/>
        <item x="331"/>
        <item x="444"/>
        <item x="141"/>
        <item x="169"/>
        <item x="100"/>
        <item x="486"/>
        <item x="38"/>
        <item x="538"/>
        <item x="576"/>
        <item x="20"/>
        <item x="25"/>
        <item x="174"/>
        <item x="245"/>
        <item x="414"/>
        <item x="261"/>
        <item x="354"/>
        <item x="135"/>
        <item x="283"/>
        <item x="151"/>
        <item x="21"/>
        <item x="181"/>
        <item x="108"/>
        <item x="50"/>
        <item x="587"/>
        <item x="14"/>
        <item x="569"/>
        <item x="96"/>
        <item x="255"/>
        <item x="562"/>
        <item x="224"/>
        <item x="179"/>
        <item x="88"/>
        <item x="293"/>
        <item x="163"/>
        <item x="65"/>
        <item x="364"/>
        <item x="593"/>
        <item x="440"/>
        <item x="200"/>
        <item x="346"/>
        <item x="89"/>
        <item x="335"/>
        <item x="434"/>
        <item x="365"/>
        <item x="572"/>
        <item x="482"/>
        <item x="53"/>
        <item x="198"/>
        <item x="449"/>
        <item x="290"/>
        <item x="408"/>
        <item x="166"/>
        <item x="0"/>
        <item x="113"/>
        <item x="291"/>
        <item x="489"/>
        <item x="235"/>
        <item x="231"/>
        <item x="278"/>
        <item x="101"/>
        <item x="17"/>
        <item x="79"/>
        <item x="13"/>
        <item x="209"/>
        <item x="464"/>
        <item x="594"/>
        <item x="162"/>
        <item x="421"/>
        <item x="553"/>
        <item x="529"/>
        <item x="321"/>
        <item x="32"/>
        <item x="256"/>
        <item x="265"/>
        <item x="54"/>
        <item x="61"/>
        <item x="184"/>
        <item x="93"/>
        <item x="246"/>
        <item x="199"/>
        <item x="62"/>
        <item x="131"/>
        <item x="447"/>
        <item x="94"/>
        <item x="298"/>
        <item x="144"/>
        <item x="585"/>
        <item x="412"/>
        <item x="26"/>
        <item x="248"/>
        <item x="138"/>
        <item x="148"/>
        <item x="126"/>
        <item x="207"/>
        <item x="415"/>
        <item x="352"/>
        <item x="132"/>
        <item x="530"/>
        <item x="172"/>
        <item x="319"/>
        <item x="308"/>
        <item x="77"/>
        <item x="496"/>
        <item x="68"/>
        <item x="15"/>
        <item x="397"/>
        <item x="559"/>
        <item x="27"/>
        <item x="309"/>
        <item x="378"/>
        <item x="536"/>
        <item x="277"/>
        <item x="187"/>
        <item x="426"/>
        <item x="419"/>
        <item x="476"/>
        <item x="102"/>
        <item x="411"/>
        <item x="310"/>
        <item x="344"/>
        <item x="311"/>
        <item x="524"/>
        <item x="52"/>
        <item x="110"/>
        <item x="399"/>
        <item x="558"/>
        <item x="69"/>
        <item x="407"/>
        <item x="470"/>
        <item x="535"/>
        <item x="374"/>
        <item x="580"/>
        <item x="392"/>
        <item x="377"/>
        <item x="153"/>
        <item x="393"/>
        <item x="437"/>
        <item x="81"/>
        <item x="552"/>
        <item x="268"/>
        <item x="441"/>
        <item x="95"/>
        <item x="403"/>
        <item x="366"/>
        <item x="6"/>
        <item x="237"/>
        <item x="158"/>
        <item x="302"/>
        <item x="358"/>
        <item x="581"/>
        <item x="427"/>
        <item x="7"/>
        <item x="527"/>
        <item x="413"/>
        <item x="433"/>
        <item x="544"/>
        <item x="180"/>
        <item x="338"/>
        <item x="211"/>
        <item x="145"/>
        <item x="400"/>
        <item x="418"/>
        <item x="139"/>
        <item x="390"/>
        <item x="380"/>
        <item x="583"/>
        <item x="404"/>
        <item x="74"/>
        <item x="304"/>
        <item x="105"/>
        <item x="257"/>
        <item x="324"/>
        <item x="75"/>
        <item x="457"/>
        <item x="23"/>
        <item x="543"/>
        <item x="142"/>
        <item x="284"/>
        <item x="493"/>
        <item x="528"/>
        <item x="143"/>
        <item x="171"/>
        <item x="159"/>
        <item x="340"/>
        <item x="114"/>
        <item x="266"/>
        <item x="220"/>
        <item x="315"/>
        <item x="73"/>
        <item x="514"/>
        <item x="229"/>
        <item x="497"/>
        <item x="359"/>
        <item x="240"/>
        <item x="8"/>
        <item x="303"/>
        <item x="555"/>
        <item x="127"/>
        <item x="56"/>
        <item x="227"/>
        <item x="264"/>
        <item x="11"/>
        <item x="452"/>
        <item x="474"/>
        <item x="288"/>
        <item x="251"/>
        <item x="60"/>
        <item x="442"/>
        <item x="370"/>
        <item x="502"/>
        <item x="22"/>
        <item x="97"/>
        <item x="540"/>
        <item x="273"/>
        <item x="510"/>
        <item x="154"/>
        <item x="202"/>
        <item x="487"/>
        <item x="111"/>
        <item x="516"/>
        <item x="120"/>
        <item x="353"/>
        <item x="221"/>
        <item x="46"/>
        <item x="29"/>
        <item x="269"/>
        <item x="47"/>
        <item x="215"/>
        <item x="206"/>
        <item x="292"/>
        <item x="355"/>
        <item x="416"/>
        <item x="236"/>
        <item x="461"/>
        <item x="107"/>
        <item x="48"/>
        <item x="579"/>
        <item x="570"/>
        <item x="122"/>
        <item x="467"/>
        <item x="10"/>
        <item x="494"/>
        <item x="336"/>
        <item x="521"/>
        <item x="63"/>
        <item x="238"/>
        <item x="299"/>
        <item x="192"/>
        <item x="456"/>
        <item x="373"/>
        <item x="503"/>
        <item x="19"/>
        <item x="167"/>
        <item x="42"/>
        <item x="551"/>
        <item x="136"/>
        <item x="435"/>
        <item x="375"/>
        <item x="160"/>
        <item x="175"/>
        <item x="577"/>
        <item x="498"/>
        <item x="218"/>
        <item x="216"/>
        <item x="561"/>
        <item x="274"/>
        <item x="296"/>
        <item x="578"/>
        <item x="478"/>
        <item x="155"/>
        <item x="98"/>
        <item x="450"/>
        <item x="596"/>
        <item x="362"/>
        <item x="520"/>
        <item x="506"/>
        <item x="78"/>
        <item x="109"/>
        <item x="422"/>
        <item x="173"/>
        <item x="225"/>
        <item x="112"/>
        <item x="431"/>
        <item x="70"/>
        <item x="472"/>
        <item x="280"/>
        <item x="168"/>
        <item x="334"/>
        <item x="232"/>
        <item x="137"/>
        <item x="548"/>
        <item x="90"/>
        <item x="39"/>
        <item x="115"/>
        <item x="517"/>
        <item x="546"/>
        <item x="325"/>
        <item x="35"/>
        <item x="307"/>
        <item x="228"/>
        <item x="565"/>
        <item x="104"/>
        <item x="51"/>
        <item x="473"/>
        <item x="233"/>
        <item x="571"/>
        <item x="252"/>
        <item x="429"/>
        <item x="395"/>
        <item x="57"/>
        <item x="234"/>
        <item x="566"/>
        <item x="409"/>
        <item x="586"/>
        <item x="330"/>
        <item x="357"/>
        <item x="67"/>
        <item x="194"/>
        <item x="363"/>
        <item x="241"/>
        <item x="203"/>
        <item x="522"/>
        <item x="361"/>
        <item x="436"/>
        <item x="453"/>
        <item x="462"/>
        <item x="193"/>
        <item x="384"/>
        <item x="306"/>
        <item x="250"/>
        <item x="430"/>
        <item x="106"/>
        <item x="379"/>
        <item x="471"/>
        <item x="119"/>
        <item x="533"/>
        <item x="495"/>
        <item x="320"/>
        <item x="518"/>
        <item x="347"/>
        <item x="9"/>
        <item x="91"/>
        <item x="49"/>
        <item x="305"/>
        <item x="43"/>
        <item x="80"/>
        <item x="270"/>
        <item x="504"/>
        <item x="285"/>
        <item x="84"/>
        <item x="492"/>
        <item x="44"/>
        <item x="401"/>
        <item x="556"/>
        <item x="156"/>
        <item x="394"/>
        <item x="182"/>
        <item x="317"/>
        <item x="591"/>
        <item x="446"/>
        <item x="226"/>
        <item x="563"/>
        <item x="547"/>
        <item x="294"/>
        <item x="568"/>
        <item x="443"/>
        <item x="584"/>
        <item x="574"/>
        <item x="371"/>
        <item x="575"/>
        <item x="286"/>
        <item x="82"/>
        <item x="539"/>
        <item x="1"/>
        <item x="560"/>
        <item x="195"/>
        <item x="337"/>
        <item x="396"/>
        <item x="386"/>
        <item x="152"/>
        <item x="549"/>
        <item x="37"/>
        <item x="465"/>
        <item x="490"/>
        <item x="423"/>
        <item x="448"/>
        <item x="564"/>
        <item x="87"/>
        <item x="186"/>
        <item x="281"/>
        <item x="451"/>
        <item x="438"/>
        <item x="300"/>
        <item x="341"/>
        <item x="279"/>
        <item x="550"/>
        <item x="515"/>
        <item x="312"/>
        <item x="24"/>
        <item x="204"/>
        <item x="129"/>
        <item x="58"/>
        <item x="267"/>
        <item x="295"/>
        <item x="185"/>
        <item x="348"/>
        <item x="345"/>
        <item x="217"/>
        <item x="242"/>
        <item x="64"/>
        <item x="459"/>
        <item x="116"/>
        <item x="410"/>
        <item x="383"/>
        <item x="196"/>
        <item x="519"/>
        <item x="326"/>
        <item x="322"/>
        <item x="201"/>
        <item x="428"/>
        <item x="133"/>
        <item x="525"/>
        <item x="329"/>
        <item x="188"/>
        <item x="511"/>
        <item x="484"/>
        <item x="477"/>
        <item x="83"/>
        <item x="567"/>
        <item x="541"/>
        <item x="134"/>
        <item x="18"/>
        <item x="332"/>
        <item x="222"/>
        <item x="260"/>
        <item x="272"/>
        <item x="582"/>
        <item x="327"/>
        <item x="212"/>
        <item x="149"/>
        <item x="258"/>
        <item x="425"/>
        <item x="599"/>
        <item x="387"/>
        <item x="282"/>
        <item x="36"/>
        <item x="5"/>
        <item x="121"/>
        <item x="323"/>
        <item x="480"/>
        <item x="99"/>
        <item x="30"/>
        <item x="491"/>
        <item x="55"/>
        <item x="512"/>
        <item x="479"/>
        <item x="588"/>
        <item x="92"/>
        <item x="243"/>
        <item x="420"/>
        <item x="597"/>
        <item x="176"/>
        <item x="147"/>
        <item x="263"/>
        <item x="189"/>
        <item x="45"/>
        <item x="118"/>
        <item x="123"/>
        <item x="534"/>
        <item x="417"/>
        <item x="170"/>
        <item x="339"/>
        <item x="458"/>
        <item x="500"/>
        <item x="405"/>
        <item x="197"/>
        <item x="508"/>
        <item x="4"/>
        <item x="164"/>
        <item x="485"/>
        <item x="254"/>
        <item x="289"/>
        <item x="376"/>
        <item x="161"/>
        <item x="208"/>
        <item x="388"/>
        <item x="372"/>
        <item x="592"/>
        <item x="287"/>
        <item x="297"/>
        <item x="301"/>
        <item x="313"/>
        <item x="439"/>
        <item x="262"/>
        <item x="468"/>
        <item x="85"/>
        <item x="103"/>
        <item x="349"/>
        <item x="124"/>
        <item x="213"/>
        <item x="389"/>
        <item x="72"/>
        <item x="531"/>
        <item x="316"/>
        <item x="150"/>
        <item x="406"/>
        <item x="28"/>
        <item x="239"/>
        <item x="391"/>
        <item x="381"/>
        <item x="140"/>
        <item x="537"/>
        <item x="481"/>
        <item x="117"/>
        <item x="31"/>
        <item x="360"/>
        <item x="157"/>
        <item x="165"/>
        <item x="275"/>
        <item x="367"/>
        <item x="545"/>
        <item x="501"/>
        <item x="318"/>
        <item x="505"/>
        <item x="513"/>
        <item x="244"/>
        <item x="247"/>
        <item x="34"/>
        <item x="507"/>
        <item x="382"/>
        <item x="190"/>
        <item x="191"/>
        <item x="466"/>
        <item x="509"/>
        <item x="343"/>
        <item x="86"/>
        <item x="532"/>
        <item x="177"/>
        <item x="342"/>
        <item x="523"/>
        <item x="183"/>
        <item x="454"/>
        <item x="276"/>
        <item x="385"/>
        <item x="125"/>
        <item x="526"/>
        <item x="178"/>
        <item x="253"/>
        <item x="16"/>
        <item x="557"/>
        <item x="469"/>
        <item x="12"/>
        <item x="146"/>
        <item x="483"/>
        <item x="66"/>
        <item x="219"/>
        <item x="41"/>
        <item x="455"/>
        <item x="356"/>
        <item x="271"/>
        <item x="328"/>
        <item x="3"/>
        <item x="595"/>
        <item x="205"/>
        <item x="59"/>
        <item x="424"/>
        <item x="369"/>
        <item x="368"/>
        <item x="554"/>
        <item x="350"/>
        <item x="460"/>
        <item x="333"/>
        <item x="130"/>
        <item x="589"/>
        <item x="488"/>
        <item x="230"/>
        <item x="402"/>
        <item x="76"/>
        <item x="398"/>
        <item x="573"/>
        <item x="71"/>
        <item t="default"/>
      </items>
      <autoSortScope>
        <pivotArea dataOnly="0" outline="0" fieldPosition="0">
          <references count="1">
            <reference field="4294967294" count="1" selected="0">
              <x v="0"/>
            </reference>
          </references>
        </pivotArea>
      </autoSortScope>
    </pivotField>
    <pivotField showAll="0">
      <items count="7">
        <item x="0"/>
        <item x="5"/>
        <item x="1"/>
        <item x="4"/>
        <item x="2"/>
        <item x="3"/>
        <item t="default"/>
      </items>
    </pivotField>
    <pivotField showAll="0">
      <items count="20">
        <item x="4"/>
        <item x="16"/>
        <item x="2"/>
        <item x="6"/>
        <item x="0"/>
        <item x="8"/>
        <item x="7"/>
        <item x="14"/>
        <item x="13"/>
        <item x="5"/>
        <item x="12"/>
        <item x="11"/>
        <item x="3"/>
        <item x="18"/>
        <item x="1"/>
        <item x="15"/>
        <item x="10"/>
        <item x="17"/>
        <item x="9"/>
        <item t="default"/>
      </items>
    </pivotField>
    <pivotField showAll="0">
      <items count="3">
        <item x="0"/>
        <item x="1"/>
        <item t="default"/>
      </items>
    </pivotField>
    <pivotField showAll="0"/>
    <pivotField showAll="0"/>
    <pivotField showAll="0">
      <items count="17">
        <item x="12"/>
        <item x="11"/>
        <item x="4"/>
        <item x="15"/>
        <item x="13"/>
        <item x="0"/>
        <item x="6"/>
        <item x="3"/>
        <item x="14"/>
        <item x="9"/>
        <item x="8"/>
        <item x="10"/>
        <item x="7"/>
        <item x="5"/>
        <item x="1"/>
        <item x="2"/>
        <item t="default"/>
      </items>
    </pivotField>
    <pivotField showAll="0">
      <items count="43">
        <item x="39"/>
        <item x="37"/>
        <item x="38"/>
        <item x="41"/>
        <item x="35"/>
        <item x="30"/>
        <item x="40"/>
        <item x="36"/>
        <item x="33"/>
        <item x="28"/>
        <item x="32"/>
        <item x="34"/>
        <item x="31"/>
        <item x="27"/>
        <item x="29"/>
        <item x="26"/>
        <item x="23"/>
        <item x="12"/>
        <item x="18"/>
        <item x="17"/>
        <item x="25"/>
        <item x="20"/>
        <item x="21"/>
        <item x="22"/>
        <item x="16"/>
        <item x="14"/>
        <item x="15"/>
        <item x="19"/>
        <item x="8"/>
        <item x="9"/>
        <item x="2"/>
        <item x="13"/>
        <item x="11"/>
        <item x="4"/>
        <item x="5"/>
        <item x="3"/>
        <item x="1"/>
        <item x="7"/>
        <item x="10"/>
        <item x="6"/>
        <item x="0"/>
        <item x="24"/>
        <item t="default"/>
      </items>
    </pivotField>
    <pivotField dataField="1" showAll="0">
      <items count="388">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2"/>
        <item x="0"/>
        <item x="1"/>
        <item x="3"/>
        <item t="default"/>
      </items>
    </pivotField>
    <pivotField showAll="0"/>
    <pivotField showAll="0"/>
  </pivotFields>
  <rowFields count="1">
    <field x="0"/>
  </rowFields>
  <rowItems count="11">
    <i>
      <x v="71"/>
    </i>
    <i>
      <x v="392"/>
    </i>
    <i>
      <x v="17"/>
    </i>
    <i>
      <x v="580"/>
    </i>
    <i>
      <x v="496"/>
    </i>
    <i>
      <x v="465"/>
    </i>
    <i>
      <x v="163"/>
    </i>
    <i>
      <x v="170"/>
    </i>
    <i>
      <x v="213"/>
    </i>
    <i>
      <x v="359"/>
    </i>
    <i t="grand">
      <x/>
    </i>
  </rowItems>
  <colItems count="1">
    <i/>
  </colItems>
  <dataFields count="1">
    <dataField name="Average of Monthly_Salary" fld="8" subtotal="average" baseField="0" baseItem="0"/>
  </dataFields>
  <formats count="3">
    <format dxfId="32">
      <pivotArea outline="0" collapsedLevelsAreSubtotals="1" fieldPosition="0"/>
    </format>
    <format dxfId="31">
      <pivotArea outline="0" collapsedLevelsAreSubtotals="1" fieldPosition="0"/>
    </format>
    <format dxfId="30">
      <pivotArea outline="0" collapsedLevelsAreSubtotals="1" fieldPosition="0"/>
    </format>
  </formats>
  <chartFormats count="3">
    <chartFormat chart="13" format="1"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4" firstHeaderRow="1" firstDataRow="1" firstDataCol="1"/>
  <pivotFields count="12">
    <pivotField showAll="0"/>
    <pivotField showAll="0">
      <items count="7">
        <item sd="0" x="0"/>
        <item sd="0" x="5"/>
        <item sd="0" x="1"/>
        <item sd="0" x="4"/>
        <item sd="0" x="2"/>
        <item sd="0" x="3"/>
        <item t="default"/>
      </items>
    </pivotField>
    <pivotField showAll="0"/>
    <pivotField showAll="0">
      <items count="3">
        <item x="0"/>
        <item x="1"/>
        <item t="default"/>
      </items>
    </pivotField>
    <pivotField showAll="0"/>
    <pivotField showAll="0"/>
    <pivotField showAll="0"/>
    <pivotField axis="axisRow" showAll="0" measureFilter="1" sortType="descending">
      <items count="43">
        <item x="39"/>
        <item x="37"/>
        <item x="38"/>
        <item x="41"/>
        <item x="35"/>
        <item x="30"/>
        <item x="40"/>
        <item x="36"/>
        <item x="33"/>
        <item x="28"/>
        <item x="32"/>
        <item x="34"/>
        <item x="31"/>
        <item x="27"/>
        <item x="29"/>
        <item x="26"/>
        <item x="23"/>
        <item x="12"/>
        <item x="18"/>
        <item x="17"/>
        <item x="25"/>
        <item x="20"/>
        <item x="21"/>
        <item x="22"/>
        <item x="16"/>
        <item x="14"/>
        <item x="15"/>
        <item x="19"/>
        <item x="8"/>
        <item x="9"/>
        <item x="2"/>
        <item x="13"/>
        <item x="11"/>
        <item x="4"/>
        <item x="5"/>
        <item x="3"/>
        <item x="1"/>
        <item x="7"/>
        <item x="10"/>
        <item x="6"/>
        <item x="0"/>
        <item x="24"/>
        <item t="default"/>
      </items>
      <autoSortScope>
        <pivotArea dataOnly="0" outline="0" fieldPosition="0">
          <references count="1">
            <reference field="4294967294" count="1" selected="0">
              <x v="0"/>
            </reference>
          </references>
        </pivotArea>
      </autoSortScope>
    </pivotField>
    <pivotField dataField="1" showAll="0"/>
    <pivotField showAll="0">
      <items count="6">
        <item x="4"/>
        <item x="2"/>
        <item x="0"/>
        <item x="1"/>
        <item x="3"/>
        <item t="default"/>
      </items>
    </pivotField>
    <pivotField showAll="0"/>
    <pivotField showAll="0"/>
  </pivotFields>
  <rowFields count="1">
    <field x="7"/>
  </rowFields>
  <rowItems count="11">
    <i>
      <x v="40"/>
    </i>
    <i>
      <x v="36"/>
    </i>
    <i>
      <x v="39"/>
    </i>
    <i>
      <x v="38"/>
    </i>
    <i>
      <x v="37"/>
    </i>
    <i>
      <x v="35"/>
    </i>
    <i>
      <x v="34"/>
    </i>
    <i>
      <x v="41"/>
    </i>
    <i>
      <x v="33"/>
    </i>
    <i>
      <x v="31"/>
    </i>
    <i t="grand">
      <x/>
    </i>
  </rowItems>
  <colItems count="1">
    <i/>
  </colItems>
  <dataFields count="1">
    <dataField name="Average of Monthly_Salary" fld="8" subtotal="average" baseField="7" baseItem="12"/>
  </dataFields>
  <formats count="12">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s>
  <chartFormats count="3">
    <chartFormat chart="0" format="11"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8" firstHeaderRow="1" firstDataRow="1" firstDataCol="1"/>
  <pivotFields count="12">
    <pivotField showAll="0">
      <items count="601">
        <item x="463"/>
        <item x="128"/>
        <item x="590"/>
        <item x="499"/>
        <item x="598"/>
        <item x="33"/>
        <item x="351"/>
        <item x="223"/>
        <item x="40"/>
        <item x="445"/>
        <item x="249"/>
        <item x="314"/>
        <item x="432"/>
        <item x="542"/>
        <item x="475"/>
        <item x="210"/>
        <item x="214"/>
        <item x="2"/>
        <item x="259"/>
        <item x="331"/>
        <item x="444"/>
        <item x="141"/>
        <item x="169"/>
        <item x="100"/>
        <item x="486"/>
        <item x="38"/>
        <item x="538"/>
        <item x="576"/>
        <item x="20"/>
        <item x="25"/>
        <item x="174"/>
        <item x="245"/>
        <item x="414"/>
        <item x="261"/>
        <item x="354"/>
        <item x="135"/>
        <item x="283"/>
        <item x="151"/>
        <item x="21"/>
        <item x="181"/>
        <item x="108"/>
        <item x="50"/>
        <item x="587"/>
        <item x="14"/>
        <item x="569"/>
        <item x="96"/>
        <item x="255"/>
        <item x="562"/>
        <item x="224"/>
        <item x="179"/>
        <item x="88"/>
        <item x="293"/>
        <item x="163"/>
        <item x="65"/>
        <item x="364"/>
        <item x="593"/>
        <item x="440"/>
        <item x="200"/>
        <item x="346"/>
        <item x="89"/>
        <item x="335"/>
        <item x="434"/>
        <item x="365"/>
        <item x="572"/>
        <item x="482"/>
        <item x="53"/>
        <item x="198"/>
        <item x="449"/>
        <item x="290"/>
        <item x="408"/>
        <item x="166"/>
        <item x="0"/>
        <item x="113"/>
        <item x="291"/>
        <item x="489"/>
        <item x="235"/>
        <item x="231"/>
        <item x="278"/>
        <item x="101"/>
        <item x="17"/>
        <item x="79"/>
        <item x="13"/>
        <item x="209"/>
        <item x="464"/>
        <item x="594"/>
        <item x="162"/>
        <item x="421"/>
        <item x="553"/>
        <item x="529"/>
        <item x="321"/>
        <item x="32"/>
        <item x="256"/>
        <item x="265"/>
        <item x="54"/>
        <item x="61"/>
        <item x="184"/>
        <item x="93"/>
        <item x="246"/>
        <item x="199"/>
        <item x="62"/>
        <item x="131"/>
        <item x="447"/>
        <item x="94"/>
        <item x="298"/>
        <item x="144"/>
        <item x="585"/>
        <item x="412"/>
        <item x="26"/>
        <item x="248"/>
        <item x="138"/>
        <item x="148"/>
        <item x="126"/>
        <item x="207"/>
        <item x="415"/>
        <item x="352"/>
        <item x="132"/>
        <item x="530"/>
        <item x="172"/>
        <item x="319"/>
        <item x="308"/>
        <item x="77"/>
        <item x="496"/>
        <item x="68"/>
        <item x="15"/>
        <item x="397"/>
        <item x="559"/>
        <item x="27"/>
        <item x="309"/>
        <item x="378"/>
        <item x="536"/>
        <item x="277"/>
        <item x="187"/>
        <item x="426"/>
        <item x="419"/>
        <item x="476"/>
        <item x="102"/>
        <item x="411"/>
        <item x="310"/>
        <item x="344"/>
        <item x="311"/>
        <item x="524"/>
        <item x="52"/>
        <item x="110"/>
        <item x="399"/>
        <item x="558"/>
        <item x="69"/>
        <item x="407"/>
        <item x="470"/>
        <item x="535"/>
        <item x="374"/>
        <item x="580"/>
        <item x="392"/>
        <item x="377"/>
        <item x="153"/>
        <item x="393"/>
        <item x="437"/>
        <item x="81"/>
        <item x="552"/>
        <item x="268"/>
        <item x="441"/>
        <item x="95"/>
        <item x="403"/>
        <item x="366"/>
        <item x="6"/>
        <item x="237"/>
        <item x="158"/>
        <item x="302"/>
        <item x="358"/>
        <item x="581"/>
        <item x="427"/>
        <item x="7"/>
        <item x="527"/>
        <item x="413"/>
        <item x="433"/>
        <item x="544"/>
        <item x="180"/>
        <item x="338"/>
        <item x="211"/>
        <item x="145"/>
        <item x="400"/>
        <item x="418"/>
        <item x="139"/>
        <item x="390"/>
        <item x="380"/>
        <item x="583"/>
        <item x="404"/>
        <item x="74"/>
        <item x="304"/>
        <item x="105"/>
        <item x="257"/>
        <item x="324"/>
        <item x="75"/>
        <item x="457"/>
        <item x="23"/>
        <item x="543"/>
        <item x="142"/>
        <item x="284"/>
        <item x="493"/>
        <item x="528"/>
        <item x="143"/>
        <item x="171"/>
        <item x="159"/>
        <item x="340"/>
        <item x="114"/>
        <item x="266"/>
        <item x="220"/>
        <item x="315"/>
        <item x="73"/>
        <item x="514"/>
        <item x="229"/>
        <item x="497"/>
        <item x="359"/>
        <item x="240"/>
        <item x="8"/>
        <item x="303"/>
        <item x="555"/>
        <item x="127"/>
        <item x="56"/>
        <item x="227"/>
        <item x="264"/>
        <item x="11"/>
        <item x="452"/>
        <item x="474"/>
        <item x="288"/>
        <item x="251"/>
        <item x="60"/>
        <item x="442"/>
        <item x="370"/>
        <item x="502"/>
        <item x="22"/>
        <item x="97"/>
        <item x="540"/>
        <item x="273"/>
        <item x="510"/>
        <item x="154"/>
        <item x="202"/>
        <item x="487"/>
        <item x="111"/>
        <item x="516"/>
        <item x="120"/>
        <item x="353"/>
        <item x="221"/>
        <item x="46"/>
        <item x="29"/>
        <item x="269"/>
        <item x="47"/>
        <item x="215"/>
        <item x="206"/>
        <item x="292"/>
        <item x="355"/>
        <item x="416"/>
        <item x="236"/>
        <item x="461"/>
        <item x="107"/>
        <item x="48"/>
        <item x="579"/>
        <item x="570"/>
        <item x="122"/>
        <item x="467"/>
        <item x="10"/>
        <item x="494"/>
        <item x="336"/>
        <item x="521"/>
        <item x="63"/>
        <item x="238"/>
        <item x="299"/>
        <item x="192"/>
        <item x="456"/>
        <item x="373"/>
        <item x="503"/>
        <item x="19"/>
        <item x="167"/>
        <item x="42"/>
        <item x="551"/>
        <item x="136"/>
        <item x="435"/>
        <item x="375"/>
        <item x="160"/>
        <item x="175"/>
        <item x="577"/>
        <item x="498"/>
        <item x="218"/>
        <item x="216"/>
        <item x="561"/>
        <item x="274"/>
        <item x="296"/>
        <item x="578"/>
        <item x="478"/>
        <item x="155"/>
        <item x="98"/>
        <item x="450"/>
        <item x="596"/>
        <item x="362"/>
        <item x="520"/>
        <item x="506"/>
        <item x="78"/>
        <item x="109"/>
        <item x="422"/>
        <item x="173"/>
        <item x="225"/>
        <item x="112"/>
        <item x="431"/>
        <item x="70"/>
        <item x="472"/>
        <item x="280"/>
        <item x="168"/>
        <item x="334"/>
        <item x="232"/>
        <item x="137"/>
        <item x="548"/>
        <item x="90"/>
        <item x="39"/>
        <item x="115"/>
        <item x="517"/>
        <item x="546"/>
        <item x="325"/>
        <item x="35"/>
        <item x="307"/>
        <item x="228"/>
        <item x="565"/>
        <item x="104"/>
        <item x="51"/>
        <item x="473"/>
        <item x="233"/>
        <item x="571"/>
        <item x="252"/>
        <item x="429"/>
        <item x="395"/>
        <item x="57"/>
        <item x="234"/>
        <item x="566"/>
        <item x="409"/>
        <item x="586"/>
        <item x="330"/>
        <item x="357"/>
        <item x="67"/>
        <item x="194"/>
        <item x="363"/>
        <item x="241"/>
        <item x="203"/>
        <item x="522"/>
        <item x="361"/>
        <item x="436"/>
        <item x="453"/>
        <item x="462"/>
        <item x="193"/>
        <item x="384"/>
        <item x="306"/>
        <item x="250"/>
        <item x="430"/>
        <item x="106"/>
        <item x="379"/>
        <item x="471"/>
        <item x="119"/>
        <item x="533"/>
        <item x="495"/>
        <item x="320"/>
        <item x="518"/>
        <item x="347"/>
        <item x="9"/>
        <item x="91"/>
        <item x="49"/>
        <item x="305"/>
        <item x="43"/>
        <item x="80"/>
        <item x="270"/>
        <item x="504"/>
        <item x="285"/>
        <item x="84"/>
        <item x="492"/>
        <item x="44"/>
        <item x="401"/>
        <item x="556"/>
        <item x="156"/>
        <item x="394"/>
        <item x="182"/>
        <item x="317"/>
        <item x="591"/>
        <item x="446"/>
        <item x="226"/>
        <item x="563"/>
        <item x="547"/>
        <item x="294"/>
        <item x="568"/>
        <item x="443"/>
        <item x="584"/>
        <item x="574"/>
        <item x="371"/>
        <item x="575"/>
        <item x="286"/>
        <item x="82"/>
        <item x="539"/>
        <item x="1"/>
        <item x="560"/>
        <item x="195"/>
        <item x="337"/>
        <item x="396"/>
        <item x="386"/>
        <item x="152"/>
        <item x="549"/>
        <item x="37"/>
        <item x="465"/>
        <item x="490"/>
        <item x="423"/>
        <item x="448"/>
        <item x="564"/>
        <item x="87"/>
        <item x="186"/>
        <item x="281"/>
        <item x="451"/>
        <item x="438"/>
        <item x="300"/>
        <item x="341"/>
        <item x="279"/>
        <item x="550"/>
        <item x="515"/>
        <item x="312"/>
        <item x="24"/>
        <item x="204"/>
        <item x="129"/>
        <item x="58"/>
        <item x="267"/>
        <item x="295"/>
        <item x="185"/>
        <item x="348"/>
        <item x="345"/>
        <item x="217"/>
        <item x="242"/>
        <item x="64"/>
        <item x="459"/>
        <item x="116"/>
        <item x="410"/>
        <item x="383"/>
        <item x="196"/>
        <item x="519"/>
        <item x="326"/>
        <item x="322"/>
        <item x="201"/>
        <item x="428"/>
        <item x="133"/>
        <item x="525"/>
        <item x="329"/>
        <item x="188"/>
        <item x="511"/>
        <item x="484"/>
        <item x="477"/>
        <item x="83"/>
        <item x="567"/>
        <item x="541"/>
        <item x="134"/>
        <item x="18"/>
        <item x="332"/>
        <item x="222"/>
        <item x="260"/>
        <item x="272"/>
        <item x="582"/>
        <item x="327"/>
        <item x="212"/>
        <item x="149"/>
        <item x="258"/>
        <item x="425"/>
        <item x="599"/>
        <item x="387"/>
        <item x="282"/>
        <item x="36"/>
        <item x="5"/>
        <item x="121"/>
        <item x="323"/>
        <item x="480"/>
        <item x="99"/>
        <item x="30"/>
        <item x="491"/>
        <item x="55"/>
        <item x="512"/>
        <item x="479"/>
        <item x="588"/>
        <item x="92"/>
        <item x="243"/>
        <item x="420"/>
        <item x="597"/>
        <item x="176"/>
        <item x="147"/>
        <item x="263"/>
        <item x="189"/>
        <item x="45"/>
        <item x="118"/>
        <item x="123"/>
        <item x="534"/>
        <item x="417"/>
        <item x="170"/>
        <item x="339"/>
        <item x="458"/>
        <item x="500"/>
        <item x="405"/>
        <item x="197"/>
        <item x="508"/>
        <item x="4"/>
        <item x="164"/>
        <item x="485"/>
        <item x="254"/>
        <item x="289"/>
        <item x="376"/>
        <item x="161"/>
        <item x="208"/>
        <item x="388"/>
        <item x="372"/>
        <item x="592"/>
        <item x="287"/>
        <item x="297"/>
        <item x="301"/>
        <item x="313"/>
        <item x="439"/>
        <item x="262"/>
        <item x="468"/>
        <item x="85"/>
        <item x="103"/>
        <item x="349"/>
        <item x="124"/>
        <item x="213"/>
        <item x="389"/>
        <item x="72"/>
        <item x="531"/>
        <item x="316"/>
        <item x="150"/>
        <item x="406"/>
        <item x="28"/>
        <item x="239"/>
        <item x="391"/>
        <item x="381"/>
        <item x="140"/>
        <item x="537"/>
        <item x="481"/>
        <item x="117"/>
        <item x="31"/>
        <item x="360"/>
        <item x="157"/>
        <item x="165"/>
        <item x="275"/>
        <item x="367"/>
        <item x="545"/>
        <item x="501"/>
        <item x="318"/>
        <item x="505"/>
        <item x="513"/>
        <item x="244"/>
        <item x="247"/>
        <item x="34"/>
        <item x="507"/>
        <item x="382"/>
        <item x="190"/>
        <item x="191"/>
        <item x="466"/>
        <item x="509"/>
        <item x="343"/>
        <item x="86"/>
        <item x="532"/>
        <item x="177"/>
        <item x="342"/>
        <item x="523"/>
        <item x="183"/>
        <item x="454"/>
        <item x="276"/>
        <item x="385"/>
        <item x="125"/>
        <item x="526"/>
        <item x="178"/>
        <item x="253"/>
        <item x="16"/>
        <item x="557"/>
        <item x="469"/>
        <item x="12"/>
        <item x="146"/>
        <item x="483"/>
        <item x="66"/>
        <item x="219"/>
        <item x="41"/>
        <item x="455"/>
        <item x="356"/>
        <item x="271"/>
        <item x="328"/>
        <item x="3"/>
        <item x="595"/>
        <item x="205"/>
        <item x="59"/>
        <item x="424"/>
        <item x="369"/>
        <item x="368"/>
        <item x="554"/>
        <item x="350"/>
        <item x="460"/>
        <item x="333"/>
        <item x="130"/>
        <item x="589"/>
        <item x="488"/>
        <item x="230"/>
        <item x="402"/>
        <item x="76"/>
        <item x="398"/>
        <item x="573"/>
        <item x="71"/>
        <item t="default"/>
      </items>
    </pivotField>
    <pivotField showAll="0" sortType="descending">
      <items count="7">
        <item x="0"/>
        <item x="5"/>
        <item x="1"/>
        <item x="4"/>
        <item x="2"/>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43">
        <item x="39"/>
        <item x="37"/>
        <item x="38"/>
        <item x="41"/>
        <item x="35"/>
        <item x="30"/>
        <item x="40"/>
        <item x="36"/>
        <item x="33"/>
        <item x="28"/>
        <item x="32"/>
        <item x="34"/>
        <item x="31"/>
        <item x="27"/>
        <item x="29"/>
        <item x="26"/>
        <item x="23"/>
        <item x="12"/>
        <item x="18"/>
        <item x="17"/>
        <item x="25"/>
        <item x="20"/>
        <item x="21"/>
        <item x="22"/>
        <item x="16"/>
        <item x="14"/>
        <item x="15"/>
        <item x="19"/>
        <item x="8"/>
        <item x="9"/>
        <item x="2"/>
        <item x="13"/>
        <item x="11"/>
        <item x="4"/>
        <item x="5"/>
        <item x="3"/>
        <item x="1"/>
        <item x="7"/>
        <item x="10"/>
        <item x="6"/>
        <item x="0"/>
        <item x="24"/>
        <item t="default"/>
      </items>
    </pivotField>
    <pivotField dataField="1" showAll="0"/>
    <pivotField showAll="0">
      <items count="6">
        <item x="4"/>
        <item x="2"/>
        <item x="0"/>
        <item x="1"/>
        <item x="3"/>
        <item t="default"/>
      </items>
    </pivotField>
    <pivotField showAll="0"/>
    <pivotField showAll="0"/>
  </pivotFields>
  <rowFields count="1">
    <field x="5"/>
  </rowFields>
  <rowItems count="5">
    <i>
      <x v="1"/>
    </i>
    <i>
      <x v="2"/>
    </i>
    <i>
      <x/>
    </i>
    <i>
      <x v="3"/>
    </i>
    <i t="grand">
      <x/>
    </i>
  </rowItems>
  <colItems count="1">
    <i/>
  </colItems>
  <dataFields count="1">
    <dataField name="Average of Monthly_Salary" fld="8" subtotal="average" baseField="1" baseItem="0" numFmtId="1"/>
  </dataFields>
  <formats count="9">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outline="0" collapsedLevelsAreSubtotals="1" fieldPosition="0"/>
    </format>
    <format dxfId="10">
      <pivotArea dataOnly="0" labelOnly="1" outline="0" axis="axisValues" fieldPosition="0"/>
    </format>
    <format dxfId="9">
      <pivotArea dataOnly="0" labelOnly="1" outline="0" axis="axisValues" fieldPosition="0"/>
    </format>
  </formats>
  <chartFormats count="3">
    <chartFormat chart="0" format="5"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4" firstHeaderRow="1" firstDataRow="1" firstDataCol="1"/>
  <pivotFields count="12">
    <pivotField showAll="0"/>
    <pivotField showAll="0">
      <items count="7">
        <item x="0"/>
        <item x="5"/>
        <item x="1"/>
        <item x="4"/>
        <item x="2"/>
        <item x="3"/>
        <item t="default"/>
      </items>
    </pivotField>
    <pivotField axis="axisRow" showAll="0" measureFilter="1" sortType="descending">
      <items count="20">
        <item x="9"/>
        <item x="17"/>
        <item x="10"/>
        <item x="15"/>
        <item x="1"/>
        <item x="18"/>
        <item x="3"/>
        <item x="11"/>
        <item x="12"/>
        <item x="5"/>
        <item x="13"/>
        <item x="14"/>
        <item x="7"/>
        <item x="8"/>
        <item x="0"/>
        <item x="6"/>
        <item x="2"/>
        <item x="16"/>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5">
        <item x="0"/>
        <item x="2"/>
        <item x="1"/>
        <item x="3"/>
        <item t="default"/>
      </items>
    </pivotField>
    <pivotField showAll="0"/>
    <pivotField showAll="0">
      <items count="43">
        <item x="39"/>
        <item x="37"/>
        <item x="38"/>
        <item x="41"/>
        <item x="35"/>
        <item x="30"/>
        <item x="40"/>
        <item x="36"/>
        <item x="33"/>
        <item x="28"/>
        <item x="32"/>
        <item x="34"/>
        <item x="31"/>
        <item x="27"/>
        <item x="29"/>
        <item x="26"/>
        <item x="23"/>
        <item x="12"/>
        <item x="18"/>
        <item x="17"/>
        <item x="25"/>
        <item x="20"/>
        <item x="21"/>
        <item x="22"/>
        <item x="16"/>
        <item x="14"/>
        <item x="15"/>
        <item x="19"/>
        <item x="8"/>
        <item x="9"/>
        <item x="2"/>
        <item x="13"/>
        <item x="11"/>
        <item x="4"/>
        <item x="5"/>
        <item x="3"/>
        <item x="1"/>
        <item x="7"/>
        <item x="10"/>
        <item x="6"/>
        <item x="0"/>
        <item x="24"/>
        <item t="default"/>
      </items>
    </pivotField>
    <pivotField dataField="1" showAll="0"/>
    <pivotField showAll="0" sortType="ascending">
      <items count="6">
        <item x="4"/>
        <item x="2"/>
        <item x="0"/>
        <item x="1"/>
        <item x="3"/>
        <item t="default"/>
      </items>
    </pivotField>
    <pivotField showAll="0"/>
    <pivotField showAll="0"/>
  </pivotFields>
  <rowFields count="1">
    <field x="2"/>
  </rowFields>
  <rowItems count="11">
    <i>
      <x v="14"/>
    </i>
    <i>
      <x v="18"/>
    </i>
    <i>
      <x v="4"/>
    </i>
    <i>
      <x v="6"/>
    </i>
    <i>
      <x/>
    </i>
    <i>
      <x v="16"/>
    </i>
    <i>
      <x v="12"/>
    </i>
    <i>
      <x v="9"/>
    </i>
    <i>
      <x v="13"/>
    </i>
    <i>
      <x v="7"/>
    </i>
    <i t="grand">
      <x/>
    </i>
  </rowItems>
  <colItems count="1">
    <i/>
  </colItems>
  <dataFields count="1">
    <dataField name="Average of Monthly_Salary" fld="8" subtotal="average" baseField="2" baseItem="1" numFmtId="1"/>
  </dataFields>
  <formats count="9">
    <format dxfId="8">
      <pivotArea outline="0" collapsedLevelsAreSubtotals="1" fieldPosition="0"/>
    </format>
    <format dxfId="7">
      <pivotArea dataOnly="0" labelOnly="1" outline="0" axis="axisValues" fieldPosition="0"/>
    </format>
    <format dxfId="6">
      <pivotArea dataOnly="0" labelOnly="1" outline="0" axis="axisValues" fieldPosition="0"/>
    </format>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chartFormats count="2">
    <chartFormat chart="0" format="22" series="1">
      <pivotArea type="data" outline="0" fieldPosition="0">
        <references count="1">
          <reference field="4294967294" count="1" selected="0">
            <x v="0"/>
          </reference>
        </references>
      </pivotArea>
    </chartFormat>
    <chartFormat chart="8"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D11" firstHeaderRow="1" firstDataRow="2" firstDataCol="1"/>
  <pivotFields count="12">
    <pivotField dataField="1" showAll="0">
      <items count="601">
        <item x="463"/>
        <item x="128"/>
        <item x="590"/>
        <item x="499"/>
        <item x="598"/>
        <item x="33"/>
        <item x="351"/>
        <item x="223"/>
        <item x="40"/>
        <item x="445"/>
        <item x="249"/>
        <item x="314"/>
        <item x="432"/>
        <item x="542"/>
        <item x="475"/>
        <item x="210"/>
        <item x="214"/>
        <item x="2"/>
        <item x="259"/>
        <item x="331"/>
        <item x="444"/>
        <item x="141"/>
        <item x="169"/>
        <item x="100"/>
        <item x="486"/>
        <item x="38"/>
        <item x="538"/>
        <item x="576"/>
        <item x="20"/>
        <item x="25"/>
        <item x="174"/>
        <item x="245"/>
        <item x="414"/>
        <item x="261"/>
        <item x="354"/>
        <item x="135"/>
        <item x="283"/>
        <item x="151"/>
        <item x="21"/>
        <item x="181"/>
        <item x="108"/>
        <item x="50"/>
        <item x="587"/>
        <item x="14"/>
        <item x="569"/>
        <item x="96"/>
        <item x="255"/>
        <item x="562"/>
        <item x="224"/>
        <item x="179"/>
        <item x="88"/>
        <item x="293"/>
        <item x="163"/>
        <item x="65"/>
        <item x="364"/>
        <item x="593"/>
        <item x="440"/>
        <item x="200"/>
        <item x="346"/>
        <item x="89"/>
        <item x="335"/>
        <item x="434"/>
        <item x="365"/>
        <item x="572"/>
        <item x="482"/>
        <item x="53"/>
        <item x="198"/>
        <item x="449"/>
        <item x="290"/>
        <item x="408"/>
        <item x="166"/>
        <item x="0"/>
        <item x="113"/>
        <item x="291"/>
        <item x="489"/>
        <item x="235"/>
        <item x="231"/>
        <item x="278"/>
        <item x="101"/>
        <item x="17"/>
        <item x="79"/>
        <item x="13"/>
        <item x="209"/>
        <item x="464"/>
        <item x="594"/>
        <item x="162"/>
        <item x="421"/>
        <item x="553"/>
        <item x="529"/>
        <item x="321"/>
        <item x="32"/>
        <item x="256"/>
        <item x="265"/>
        <item x="54"/>
        <item x="61"/>
        <item x="184"/>
        <item x="93"/>
        <item x="246"/>
        <item x="199"/>
        <item x="62"/>
        <item x="131"/>
        <item x="447"/>
        <item x="94"/>
        <item x="298"/>
        <item x="144"/>
        <item x="585"/>
        <item x="412"/>
        <item x="26"/>
        <item x="248"/>
        <item x="138"/>
        <item x="148"/>
        <item x="126"/>
        <item x="207"/>
        <item x="415"/>
        <item x="352"/>
        <item x="132"/>
        <item x="530"/>
        <item x="172"/>
        <item x="319"/>
        <item x="308"/>
        <item x="77"/>
        <item x="496"/>
        <item x="68"/>
        <item x="15"/>
        <item x="397"/>
        <item x="559"/>
        <item x="27"/>
        <item x="309"/>
        <item x="378"/>
        <item x="536"/>
        <item x="277"/>
        <item x="187"/>
        <item x="426"/>
        <item x="419"/>
        <item x="476"/>
        <item x="102"/>
        <item x="411"/>
        <item x="310"/>
        <item x="344"/>
        <item x="311"/>
        <item x="524"/>
        <item x="52"/>
        <item x="110"/>
        <item x="399"/>
        <item x="558"/>
        <item x="69"/>
        <item x="407"/>
        <item x="470"/>
        <item x="535"/>
        <item x="374"/>
        <item x="580"/>
        <item x="392"/>
        <item x="377"/>
        <item x="153"/>
        <item x="393"/>
        <item x="437"/>
        <item x="81"/>
        <item x="552"/>
        <item x="268"/>
        <item x="441"/>
        <item x="95"/>
        <item x="403"/>
        <item x="366"/>
        <item x="6"/>
        <item x="237"/>
        <item x="158"/>
        <item x="302"/>
        <item x="358"/>
        <item x="581"/>
        <item x="427"/>
        <item x="7"/>
        <item x="527"/>
        <item x="413"/>
        <item x="433"/>
        <item x="544"/>
        <item x="180"/>
        <item x="338"/>
        <item x="211"/>
        <item x="145"/>
        <item x="400"/>
        <item x="418"/>
        <item x="139"/>
        <item x="390"/>
        <item x="380"/>
        <item x="583"/>
        <item x="404"/>
        <item x="74"/>
        <item x="304"/>
        <item x="105"/>
        <item x="257"/>
        <item x="324"/>
        <item x="75"/>
        <item x="457"/>
        <item x="23"/>
        <item x="543"/>
        <item x="142"/>
        <item x="284"/>
        <item x="493"/>
        <item x="528"/>
        <item x="143"/>
        <item x="171"/>
        <item x="159"/>
        <item x="340"/>
        <item x="114"/>
        <item x="266"/>
        <item x="220"/>
        <item x="315"/>
        <item x="73"/>
        <item x="514"/>
        <item x="229"/>
        <item x="497"/>
        <item x="359"/>
        <item x="240"/>
        <item x="8"/>
        <item x="303"/>
        <item x="555"/>
        <item x="127"/>
        <item x="56"/>
        <item x="227"/>
        <item x="264"/>
        <item x="11"/>
        <item x="452"/>
        <item x="474"/>
        <item x="288"/>
        <item x="251"/>
        <item x="60"/>
        <item x="442"/>
        <item x="370"/>
        <item x="502"/>
        <item x="22"/>
        <item x="97"/>
        <item x="540"/>
        <item x="273"/>
        <item x="510"/>
        <item x="154"/>
        <item x="202"/>
        <item x="487"/>
        <item x="111"/>
        <item x="516"/>
        <item x="120"/>
        <item x="353"/>
        <item x="221"/>
        <item x="46"/>
        <item x="29"/>
        <item x="269"/>
        <item x="47"/>
        <item x="215"/>
        <item x="206"/>
        <item x="292"/>
        <item x="355"/>
        <item x="416"/>
        <item x="236"/>
        <item x="461"/>
        <item x="107"/>
        <item x="48"/>
        <item x="579"/>
        <item x="570"/>
        <item x="122"/>
        <item x="467"/>
        <item x="10"/>
        <item x="494"/>
        <item x="336"/>
        <item x="521"/>
        <item x="63"/>
        <item x="238"/>
        <item x="299"/>
        <item x="192"/>
        <item x="456"/>
        <item x="373"/>
        <item x="503"/>
        <item x="19"/>
        <item x="167"/>
        <item x="42"/>
        <item x="551"/>
        <item x="136"/>
        <item x="435"/>
        <item x="375"/>
        <item x="160"/>
        <item x="175"/>
        <item x="577"/>
        <item x="498"/>
        <item x="218"/>
        <item x="216"/>
        <item x="561"/>
        <item x="274"/>
        <item x="296"/>
        <item x="578"/>
        <item x="478"/>
        <item x="155"/>
        <item x="98"/>
        <item x="450"/>
        <item x="596"/>
        <item x="362"/>
        <item x="520"/>
        <item x="506"/>
        <item x="78"/>
        <item x="109"/>
        <item x="422"/>
        <item x="173"/>
        <item x="225"/>
        <item x="112"/>
        <item x="431"/>
        <item x="70"/>
        <item x="472"/>
        <item x="280"/>
        <item x="168"/>
        <item x="334"/>
        <item x="232"/>
        <item x="137"/>
        <item x="548"/>
        <item x="90"/>
        <item x="39"/>
        <item x="115"/>
        <item x="517"/>
        <item x="546"/>
        <item x="325"/>
        <item x="35"/>
        <item x="307"/>
        <item x="228"/>
        <item x="565"/>
        <item x="104"/>
        <item x="51"/>
        <item x="473"/>
        <item x="233"/>
        <item x="571"/>
        <item x="252"/>
        <item x="429"/>
        <item x="395"/>
        <item x="57"/>
        <item x="234"/>
        <item x="566"/>
        <item x="409"/>
        <item x="586"/>
        <item x="330"/>
        <item x="357"/>
        <item x="67"/>
        <item x="194"/>
        <item x="363"/>
        <item x="241"/>
        <item x="203"/>
        <item x="522"/>
        <item x="361"/>
        <item x="436"/>
        <item x="453"/>
        <item x="462"/>
        <item x="193"/>
        <item x="384"/>
        <item x="306"/>
        <item x="250"/>
        <item x="430"/>
        <item x="106"/>
        <item x="379"/>
        <item x="471"/>
        <item x="119"/>
        <item x="533"/>
        <item x="495"/>
        <item x="320"/>
        <item x="518"/>
        <item x="347"/>
        <item x="9"/>
        <item x="91"/>
        <item x="49"/>
        <item x="305"/>
        <item x="43"/>
        <item x="80"/>
        <item x="270"/>
        <item x="504"/>
        <item x="285"/>
        <item x="84"/>
        <item x="492"/>
        <item x="44"/>
        <item x="401"/>
        <item x="556"/>
        <item x="156"/>
        <item x="394"/>
        <item x="182"/>
        <item x="317"/>
        <item x="591"/>
        <item x="446"/>
        <item x="226"/>
        <item x="563"/>
        <item x="547"/>
        <item x="294"/>
        <item x="568"/>
        <item x="443"/>
        <item x="584"/>
        <item x="574"/>
        <item x="371"/>
        <item x="575"/>
        <item x="286"/>
        <item x="82"/>
        <item x="539"/>
        <item x="1"/>
        <item x="560"/>
        <item x="195"/>
        <item x="337"/>
        <item x="396"/>
        <item x="386"/>
        <item x="152"/>
        <item x="549"/>
        <item x="37"/>
        <item x="465"/>
        <item x="490"/>
        <item x="423"/>
        <item x="448"/>
        <item x="564"/>
        <item x="87"/>
        <item x="186"/>
        <item x="281"/>
        <item x="451"/>
        <item x="438"/>
        <item x="300"/>
        <item x="341"/>
        <item x="279"/>
        <item x="550"/>
        <item x="515"/>
        <item x="312"/>
        <item x="24"/>
        <item x="204"/>
        <item x="129"/>
        <item x="58"/>
        <item x="267"/>
        <item x="295"/>
        <item x="185"/>
        <item x="348"/>
        <item x="345"/>
        <item x="217"/>
        <item x="242"/>
        <item x="64"/>
        <item x="459"/>
        <item x="116"/>
        <item x="410"/>
        <item x="383"/>
        <item x="196"/>
        <item x="519"/>
        <item x="326"/>
        <item x="322"/>
        <item x="201"/>
        <item x="428"/>
        <item x="133"/>
        <item x="525"/>
        <item x="329"/>
        <item x="188"/>
        <item x="511"/>
        <item x="484"/>
        <item x="477"/>
        <item x="83"/>
        <item x="567"/>
        <item x="541"/>
        <item x="134"/>
        <item x="18"/>
        <item x="332"/>
        <item x="222"/>
        <item x="260"/>
        <item x="272"/>
        <item x="582"/>
        <item x="327"/>
        <item x="212"/>
        <item x="149"/>
        <item x="258"/>
        <item x="425"/>
        <item x="599"/>
        <item x="387"/>
        <item x="282"/>
        <item x="36"/>
        <item x="5"/>
        <item x="121"/>
        <item x="323"/>
        <item x="480"/>
        <item x="99"/>
        <item x="30"/>
        <item x="491"/>
        <item x="55"/>
        <item x="512"/>
        <item x="479"/>
        <item x="588"/>
        <item x="92"/>
        <item x="243"/>
        <item x="420"/>
        <item x="597"/>
        <item x="176"/>
        <item x="147"/>
        <item x="263"/>
        <item x="189"/>
        <item x="45"/>
        <item x="118"/>
        <item x="123"/>
        <item x="534"/>
        <item x="417"/>
        <item x="170"/>
        <item x="339"/>
        <item x="458"/>
        <item x="500"/>
        <item x="405"/>
        <item x="197"/>
        <item x="508"/>
        <item x="4"/>
        <item x="164"/>
        <item x="485"/>
        <item x="254"/>
        <item x="289"/>
        <item x="376"/>
        <item x="161"/>
        <item x="208"/>
        <item x="388"/>
        <item x="372"/>
        <item x="592"/>
        <item x="287"/>
        <item x="297"/>
        <item x="301"/>
        <item x="313"/>
        <item x="439"/>
        <item x="262"/>
        <item x="468"/>
        <item x="85"/>
        <item x="103"/>
        <item x="349"/>
        <item x="124"/>
        <item x="213"/>
        <item x="389"/>
        <item x="72"/>
        <item x="531"/>
        <item x="316"/>
        <item x="150"/>
        <item x="406"/>
        <item x="28"/>
        <item x="239"/>
        <item x="391"/>
        <item x="381"/>
        <item x="140"/>
        <item x="537"/>
        <item x="481"/>
        <item x="117"/>
        <item x="31"/>
        <item x="360"/>
        <item x="157"/>
        <item x="165"/>
        <item x="275"/>
        <item x="367"/>
        <item x="545"/>
        <item x="501"/>
        <item x="318"/>
        <item x="505"/>
        <item x="513"/>
        <item x="244"/>
        <item x="247"/>
        <item x="34"/>
        <item x="507"/>
        <item x="382"/>
        <item x="190"/>
        <item x="191"/>
        <item x="466"/>
        <item x="509"/>
        <item x="343"/>
        <item x="86"/>
        <item x="532"/>
        <item x="177"/>
        <item x="342"/>
        <item x="523"/>
        <item x="183"/>
        <item x="454"/>
        <item x="276"/>
        <item x="385"/>
        <item x="125"/>
        <item x="526"/>
        <item x="178"/>
        <item x="253"/>
        <item x="16"/>
        <item x="557"/>
        <item x="469"/>
        <item x="12"/>
        <item x="146"/>
        <item x="483"/>
        <item x="66"/>
        <item x="219"/>
        <item x="41"/>
        <item x="455"/>
        <item x="356"/>
        <item x="271"/>
        <item x="328"/>
        <item x="3"/>
        <item x="595"/>
        <item x="205"/>
        <item x="59"/>
        <item x="424"/>
        <item x="369"/>
        <item x="368"/>
        <item x="554"/>
        <item x="350"/>
        <item x="460"/>
        <item x="333"/>
        <item x="130"/>
        <item x="589"/>
        <item x="488"/>
        <item x="230"/>
        <item x="402"/>
        <item x="76"/>
        <item x="398"/>
        <item x="573"/>
        <item x="71"/>
        <item t="default"/>
      </items>
    </pivotField>
    <pivotField axis="axisRow" showAll="0" sortType="descending">
      <items count="7">
        <item x="0"/>
        <item x="5"/>
        <item x="1"/>
        <item x="4"/>
        <item x="2"/>
        <item x="3"/>
        <item t="default"/>
      </items>
      <autoSortScope>
        <pivotArea dataOnly="0" outline="0" fieldPosition="0">
          <references count="1">
            <reference field="4294967294" count="1" selected="0">
              <x v="0"/>
            </reference>
          </references>
        </pivotArea>
      </autoSortScope>
    </pivotField>
    <pivotField showAll="0"/>
    <pivotField axis="axisCol" showAll="0">
      <items count="3">
        <item x="0"/>
        <item x="1"/>
        <item t="default"/>
      </items>
    </pivotField>
    <pivotField showAll="0"/>
    <pivotField showAll="0"/>
    <pivotField showAll="0"/>
    <pivotField showAll="0">
      <items count="43">
        <item x="39"/>
        <item x="37"/>
        <item x="38"/>
        <item x="41"/>
        <item x="35"/>
        <item x="30"/>
        <item x="40"/>
        <item x="36"/>
        <item x="33"/>
        <item x="28"/>
        <item x="32"/>
        <item x="34"/>
        <item x="31"/>
        <item x="27"/>
        <item x="29"/>
        <item x="26"/>
        <item x="23"/>
        <item x="12"/>
        <item x="18"/>
        <item x="17"/>
        <item x="25"/>
        <item x="20"/>
        <item x="21"/>
        <item x="22"/>
        <item x="16"/>
        <item x="14"/>
        <item x="15"/>
        <item x="19"/>
        <item x="8"/>
        <item x="9"/>
        <item x="2"/>
        <item x="13"/>
        <item x="11"/>
        <item x="4"/>
        <item x="5"/>
        <item x="3"/>
        <item x="1"/>
        <item x="7"/>
        <item x="10"/>
        <item x="6"/>
        <item x="0"/>
        <item x="24"/>
        <item t="default"/>
      </items>
    </pivotField>
    <pivotField showAll="0"/>
    <pivotField showAll="0">
      <items count="6">
        <item x="4"/>
        <item x="2"/>
        <item x="0"/>
        <item x="1"/>
        <item x="3"/>
        <item t="default"/>
      </items>
    </pivotField>
    <pivotField showAll="0"/>
    <pivotField showAll="0"/>
  </pivotFields>
  <rowFields count="1">
    <field x="1"/>
  </rowFields>
  <rowItems count="7">
    <i>
      <x v="1"/>
    </i>
    <i>
      <x v="4"/>
    </i>
    <i>
      <x v="2"/>
    </i>
    <i>
      <x/>
    </i>
    <i>
      <x v="5"/>
    </i>
    <i>
      <x v="3"/>
    </i>
    <i t="grand">
      <x/>
    </i>
  </rowItems>
  <colFields count="1">
    <field x="3"/>
  </colFields>
  <colItems count="3">
    <i>
      <x/>
    </i>
    <i>
      <x v="1"/>
    </i>
    <i t="grand">
      <x/>
    </i>
  </colItems>
  <dataFields count="1">
    <dataField name="Count of Employee_ID" fld="0" subtotal="count" baseField="0" baseItem="0"/>
  </dataFields>
  <chartFormats count="6">
    <chartFormat chart="0" format="2" series="1">
      <pivotArea type="data" outline="0" fieldPosition="0">
        <references count="2">
          <reference field="4294967294" count="1" selected="0">
            <x v="0"/>
          </reference>
          <reference field="3" count="1" selected="0">
            <x v="0"/>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2">
          <reference field="4294967294" count="1" selected="0">
            <x v="0"/>
          </reference>
          <reference field="3" count="1" selected="0">
            <x v="0"/>
          </reference>
        </references>
      </pivotArea>
    </chartFormat>
    <chartFormat chart="8" format="1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8" name="PivotTable1"/>
    <pivotTable tabId="5" name="PivotTable1"/>
    <pivotTable tabId="6" name="PivotTable2"/>
    <pivotTable tabId="3" name="PivotTable1"/>
    <pivotTable tabId="4" name="PivotTable2"/>
    <pivotTable tabId="7" name="PivotTable3"/>
  </pivotTables>
  <data>
    <tabular pivotCacheId="1">
      <items count="6">
        <i x="0" s="1"/>
        <i x="5"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8" name="PivotTable1"/>
    <pivotTable tabId="5" name="PivotTable1"/>
    <pivotTable tabId="6" name="PivotTable2"/>
    <pivotTable tabId="3" name="PivotTable1"/>
    <pivotTable tabId="4" name="PivotTable2"/>
    <pivotTable tabId="7" name="PivotTable3"/>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perience_Years" sourceName="Experience_Years">
  <pivotTables>
    <pivotTable tabId="8" name="PivotTable1"/>
    <pivotTable tabId="5" name="PivotTable1"/>
    <pivotTable tabId="6" name="PivotTable2"/>
    <pivotTable tabId="3" name="PivotTable1"/>
    <pivotTable tabId="4" name="PivotTable2"/>
    <pivotTable tabId="7" name="PivotTable3"/>
  </pivotTables>
  <data>
    <tabular pivotCacheId="1">
      <items count="42">
        <i x="39" s="1"/>
        <i x="37" s="1"/>
        <i x="38" s="1"/>
        <i x="41" s="1"/>
        <i x="35" s="1"/>
        <i x="30" s="1"/>
        <i x="40" s="1"/>
        <i x="36" s="1"/>
        <i x="33" s="1"/>
        <i x="28" s="1"/>
        <i x="32" s="1"/>
        <i x="34" s="1"/>
        <i x="31" s="1"/>
        <i x="27" s="1"/>
        <i x="29" s="1"/>
        <i x="26" s="1"/>
        <i x="23" s="1"/>
        <i x="12" s="1"/>
        <i x="18" s="1"/>
        <i x="17" s="1"/>
        <i x="25" s="1"/>
        <i x="20" s="1"/>
        <i x="21" s="1"/>
        <i x="22" s="1"/>
        <i x="16" s="1"/>
        <i x="14" s="1"/>
        <i x="15" s="1"/>
        <i x="19" s="1"/>
        <i x="8" s="1"/>
        <i x="9" s="1"/>
        <i x="2" s="1"/>
        <i x="13" s="1"/>
        <i x="11" s="1"/>
        <i x="4" s="1"/>
        <i x="5" s="1"/>
        <i x="3" s="1"/>
        <i x="1" s="1"/>
        <i x="7" s="1"/>
        <i x="10" s="1"/>
        <i x="6" s="1"/>
        <i x="0" s="1"/>
        <i x="2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erformance_Rating" sourceName="Performance_Rating">
  <pivotTables>
    <pivotTable tabId="8" name="PivotTable1"/>
    <pivotTable tabId="5" name="PivotTable1"/>
    <pivotTable tabId="6" name="PivotTable2"/>
    <pivotTable tabId="3" name="PivotTable1"/>
    <pivotTable tabId="4" name="PivotTable2"/>
    <pivotTable tabId="7" name="PivotTable3"/>
  </pivotTables>
  <data>
    <tabular pivotCacheId="1">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rowHeight="234950"/>
  <slicer name="Gender 1" cache="Slicer_Gender" caption="Gender" rowHeight="234950"/>
  <slicer name="Experience_Years 1" cache="Slicer_Experience_Years" caption="Experience_Years" rowHeight="234950"/>
  <slicer name="Performance_Rating 1" cache="Slicer_Performance_Rating" caption="Performance_Rating"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Gender" cache="Slicer_Gender" caption="Gender" rowHeight="234950"/>
  <slicer name="Experience_Years" cache="Slicer_Experience_Years" caption="Experience_Years" rowHeight="234950"/>
  <slicer name="Performance_Rating" cache="Slicer_Performance_Rating" caption="Performance_Rating" rowHeight="234950"/>
</slicers>
</file>

<file path=xl/tables/table1.xml><?xml version="1.0" encoding="utf-8"?>
<table xmlns="http://schemas.openxmlformats.org/spreadsheetml/2006/main" id="1" name="CleanData" displayName="CleanData" ref="A1:L601" totalsRowShown="0" headerRowDxfId="51" dataDxfId="49" headerRowBorderDxfId="50" tableBorderDxfId="48">
  <autoFilter ref="A1:L601"/>
  <sortState ref="A2:L601">
    <sortCondition descending="1" ref="G23"/>
  </sortState>
  <tableColumns count="12">
    <tableColumn id="1" name="Employee_ID" dataDxfId="47"/>
    <tableColumn id="2" name="Department" dataDxfId="46"/>
    <tableColumn id="3" name="Job_Role" dataDxfId="45"/>
    <tableColumn id="4" name="Gender" dataDxfId="44"/>
    <tableColumn id="5" name="Age" dataDxfId="43"/>
    <tableColumn id="6" name="Education" dataDxfId="42"/>
    <tableColumn id="7" name="Years_At_Company" dataDxfId="41"/>
    <tableColumn id="8" name="Experience_Years" dataDxfId="40"/>
    <tableColumn id="9" name="Monthly_Salary" dataDxfId="39"/>
    <tableColumn id="10" name="Performance_Rating" dataDxfId="38"/>
    <tableColumn id="11" name="Job_Satisfaction" dataDxfId="37"/>
    <tableColumn id="12" name="Overtime_Hours" dataDxfId="3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9"/>
  <sheetViews>
    <sheetView showGridLines="0" tabSelected="1" zoomScale="35" zoomScaleNormal="35" workbookViewId="0">
      <selection activeCell="AD21" sqref="AD21"/>
    </sheetView>
  </sheetViews>
  <sheetFormatPr defaultRowHeight="13.8" x14ac:dyDescent="0.25"/>
  <cols>
    <col min="1" max="1" width="1.8984375" customWidth="1"/>
    <col min="2" max="19" width="10.59765625" customWidth="1"/>
    <col min="20" max="20" width="1.8984375" customWidth="1"/>
  </cols>
  <sheetData>
    <row r="1" spans="1:21" ht="6" customHeight="1" x14ac:dyDescent="0.25">
      <c r="A1" s="41" t="s">
        <v>668</v>
      </c>
      <c r="B1" s="41"/>
      <c r="C1" s="41"/>
      <c r="D1" s="41"/>
      <c r="E1" s="41"/>
      <c r="F1" s="41"/>
      <c r="G1" s="41"/>
      <c r="H1" s="41"/>
      <c r="I1" s="41"/>
      <c r="J1" s="41"/>
      <c r="K1" s="41"/>
      <c r="L1" s="41"/>
      <c r="M1" s="41"/>
      <c r="N1" s="41"/>
      <c r="O1" s="41"/>
      <c r="P1" s="41"/>
      <c r="Q1" s="41"/>
      <c r="R1" s="41"/>
      <c r="S1" s="41"/>
      <c r="T1" s="41"/>
      <c r="U1" s="41"/>
    </row>
    <row r="2" spans="1:21" ht="49.95" customHeight="1" x14ac:dyDescent="0.25">
      <c r="A2" s="41"/>
      <c r="B2" s="41"/>
      <c r="C2" s="41"/>
      <c r="D2" s="41"/>
      <c r="E2" s="41"/>
      <c r="F2" s="41"/>
      <c r="G2" s="41"/>
      <c r="H2" s="41"/>
      <c r="I2" s="41"/>
      <c r="J2" s="41"/>
      <c r="K2" s="41"/>
      <c r="L2" s="41"/>
      <c r="M2" s="41"/>
      <c r="N2" s="41"/>
      <c r="O2" s="41"/>
      <c r="P2" s="41"/>
      <c r="Q2" s="41"/>
      <c r="R2" s="41"/>
      <c r="S2" s="41"/>
      <c r="T2" s="41"/>
      <c r="U2" s="41"/>
    </row>
    <row r="3" spans="1:21" ht="7.95" customHeight="1" x14ac:dyDescent="0.25">
      <c r="A3" s="14"/>
      <c r="B3" s="20" t="s">
        <v>675</v>
      </c>
      <c r="C3" s="20"/>
      <c r="D3" s="20"/>
      <c r="E3" s="20"/>
      <c r="F3" s="20"/>
      <c r="G3" s="20"/>
      <c r="H3" s="20"/>
      <c r="I3" s="20"/>
      <c r="J3" s="20"/>
      <c r="K3" s="20"/>
      <c r="L3" s="20"/>
      <c r="M3" s="20"/>
      <c r="N3" s="20"/>
      <c r="O3" s="20"/>
      <c r="P3" s="20"/>
      <c r="Q3" s="20"/>
      <c r="R3" s="20"/>
      <c r="S3" s="20"/>
      <c r="T3" s="20"/>
      <c r="U3" s="20"/>
    </row>
    <row r="4" spans="1:21" ht="7.95" customHeight="1" x14ac:dyDescent="0.25">
      <c r="A4" s="14"/>
      <c r="B4" s="20"/>
      <c r="C4" s="20"/>
      <c r="D4" s="20"/>
      <c r="E4" s="20"/>
      <c r="F4" s="20"/>
      <c r="G4" s="20"/>
      <c r="H4" s="20"/>
      <c r="I4" s="20"/>
      <c r="J4" s="20"/>
      <c r="K4" s="20"/>
      <c r="L4" s="20"/>
      <c r="M4" s="20"/>
      <c r="N4" s="20"/>
      <c r="O4" s="20"/>
      <c r="P4" s="20"/>
      <c r="Q4" s="20"/>
      <c r="R4" s="20"/>
      <c r="S4" s="20"/>
      <c r="T4" s="20"/>
      <c r="U4" s="20"/>
    </row>
    <row r="5" spans="1:21" ht="18" customHeight="1" x14ac:dyDescent="0.25">
      <c r="A5" s="14"/>
      <c r="B5" s="25" t="s">
        <v>663</v>
      </c>
      <c r="C5" s="25"/>
      <c r="D5" s="25"/>
      <c r="E5" s="25"/>
      <c r="F5" s="26" t="s">
        <v>664</v>
      </c>
      <c r="G5" s="26"/>
      <c r="H5" s="26"/>
      <c r="I5" s="26"/>
      <c r="J5" s="27" t="s">
        <v>656</v>
      </c>
      <c r="K5" s="27"/>
      <c r="L5" s="27"/>
      <c r="M5" s="27"/>
      <c r="N5" s="28" t="s">
        <v>665</v>
      </c>
      <c r="O5" s="28"/>
      <c r="P5" s="28"/>
      <c r="Q5" s="28"/>
      <c r="R5" s="39" t="s">
        <v>666</v>
      </c>
      <c r="S5" s="39"/>
      <c r="T5" s="39"/>
      <c r="U5" s="39"/>
    </row>
    <row r="6" spans="1:21" ht="42" customHeight="1" x14ac:dyDescent="0.25">
      <c r="A6" s="14"/>
      <c r="B6" s="21">
        <f>COUNTA(CleanData[Employee_ID])</f>
        <v>600</v>
      </c>
      <c r="C6" s="21"/>
      <c r="D6" s="21"/>
      <c r="E6" s="21"/>
      <c r="F6" s="22">
        <f>MAX(CleanData[Monthly_Salary])</f>
        <v>12050</v>
      </c>
      <c r="G6" s="22"/>
      <c r="H6" s="22"/>
      <c r="I6" s="22"/>
      <c r="J6" s="23">
        <f>AVERAGE(CleanData[Monthly_Salary])</f>
        <v>7538.6</v>
      </c>
      <c r="K6" s="23"/>
      <c r="L6" s="23"/>
      <c r="M6" s="23"/>
      <c r="N6" s="24">
        <f>MIN(CleanData[Monthly_Salary])</f>
        <v>3820</v>
      </c>
      <c r="O6" s="24"/>
      <c r="P6" s="24"/>
      <c r="Q6" s="24"/>
      <c r="R6" s="40" t="s">
        <v>639</v>
      </c>
      <c r="S6" s="40"/>
      <c r="T6" s="40"/>
      <c r="U6" s="40"/>
    </row>
    <row r="7" spans="1:21" ht="42" customHeight="1" x14ac:dyDescent="0.25">
      <c r="A7" s="14"/>
      <c r="B7" s="21"/>
      <c r="C7" s="21"/>
      <c r="D7" s="21"/>
      <c r="E7" s="21"/>
      <c r="F7" s="22"/>
      <c r="G7" s="22"/>
      <c r="H7" s="22"/>
      <c r="I7" s="22"/>
      <c r="J7" s="23"/>
      <c r="K7" s="23"/>
      <c r="L7" s="23"/>
      <c r="M7" s="23"/>
      <c r="N7" s="24"/>
      <c r="O7" s="24"/>
      <c r="P7" s="24"/>
      <c r="Q7" s="24"/>
      <c r="R7" s="40"/>
      <c r="S7" s="40"/>
      <c r="T7" s="40"/>
      <c r="U7" s="40"/>
    </row>
    <row r="8" spans="1:21" ht="6" customHeight="1" x14ac:dyDescent="0.25">
      <c r="A8" s="14"/>
      <c r="B8" s="14"/>
      <c r="C8" s="14"/>
      <c r="D8" s="14"/>
      <c r="E8" s="14"/>
      <c r="F8" s="14"/>
      <c r="G8" s="14"/>
      <c r="H8" s="14"/>
      <c r="I8" s="14"/>
      <c r="J8" s="14"/>
      <c r="K8" s="14"/>
      <c r="L8" s="14"/>
      <c r="M8" s="14"/>
      <c r="N8" s="14"/>
      <c r="O8" s="14"/>
      <c r="P8" s="14"/>
      <c r="Q8" s="14"/>
      <c r="R8" s="14"/>
      <c r="S8" s="14"/>
      <c r="T8" s="14"/>
    </row>
    <row r="9" spans="1:21" ht="22.05" customHeight="1" x14ac:dyDescent="0.25">
      <c r="A9" s="14"/>
      <c r="B9" s="33" t="s">
        <v>669</v>
      </c>
      <c r="C9" s="34"/>
      <c r="D9" s="34"/>
      <c r="E9" s="34"/>
      <c r="F9" s="34"/>
      <c r="G9" s="34"/>
      <c r="H9" s="34"/>
      <c r="I9" s="34"/>
      <c r="J9" s="34"/>
      <c r="K9" s="42" t="s">
        <v>670</v>
      </c>
      <c r="L9" s="42"/>
      <c r="M9" s="42"/>
      <c r="N9" s="42"/>
      <c r="O9" s="42"/>
      <c r="P9" s="42"/>
      <c r="Q9" s="42"/>
      <c r="R9" s="42"/>
      <c r="S9" s="42"/>
      <c r="T9" s="42"/>
      <c r="U9" s="42"/>
    </row>
    <row r="10" spans="1:21" ht="4.95" customHeight="1" x14ac:dyDescent="0.25">
      <c r="A10" s="14"/>
      <c r="B10" s="14"/>
      <c r="C10" s="14"/>
      <c r="D10" s="14"/>
      <c r="E10" s="14"/>
      <c r="F10" s="14"/>
      <c r="G10" s="14"/>
      <c r="H10" s="14"/>
      <c r="I10" s="14"/>
      <c r="J10" s="14"/>
      <c r="K10" s="14"/>
      <c r="L10" s="14"/>
      <c r="M10" s="14"/>
      <c r="N10" s="14"/>
      <c r="O10" s="14"/>
      <c r="P10" s="14"/>
      <c r="Q10" s="14"/>
      <c r="R10" s="14"/>
      <c r="S10" s="14"/>
      <c r="T10" s="14"/>
    </row>
    <row r="11" spans="1:21" ht="16.95" customHeight="1" x14ac:dyDescent="0.25">
      <c r="A11" s="14"/>
      <c r="B11" s="15"/>
      <c r="C11" s="15"/>
      <c r="D11" s="15"/>
      <c r="E11" s="15"/>
      <c r="F11" s="15"/>
      <c r="G11" s="15"/>
      <c r="H11" s="15"/>
      <c r="I11" s="15"/>
      <c r="J11" s="15"/>
      <c r="K11" s="16"/>
      <c r="L11" s="16"/>
      <c r="M11" s="16"/>
      <c r="N11" s="16"/>
      <c r="O11" s="16"/>
      <c r="P11" s="16"/>
      <c r="Q11" s="16"/>
      <c r="R11" s="16"/>
      <c r="S11" s="16"/>
      <c r="T11" s="29"/>
      <c r="U11" s="29"/>
    </row>
    <row r="12" spans="1:21" ht="16.95" customHeight="1" x14ac:dyDescent="0.25">
      <c r="A12" s="14"/>
      <c r="B12" s="15"/>
      <c r="C12" s="15"/>
      <c r="D12" s="15"/>
      <c r="E12" s="15"/>
      <c r="F12" s="15"/>
      <c r="G12" s="15"/>
      <c r="H12" s="15"/>
      <c r="I12" s="15"/>
      <c r="J12" s="15"/>
      <c r="K12" s="16"/>
      <c r="L12" s="16"/>
      <c r="M12" s="16"/>
      <c r="N12" s="16"/>
      <c r="O12" s="16"/>
      <c r="P12" s="16"/>
      <c r="Q12" s="16"/>
      <c r="R12" s="16"/>
      <c r="S12" s="16"/>
      <c r="T12" s="29"/>
      <c r="U12" s="29"/>
    </row>
    <row r="13" spans="1:21" ht="16.95" customHeight="1" x14ac:dyDescent="0.25">
      <c r="A13" s="14"/>
      <c r="B13" s="15"/>
      <c r="C13" s="15"/>
      <c r="D13" s="15"/>
      <c r="E13" s="15"/>
      <c r="F13" s="15"/>
      <c r="G13" s="15"/>
      <c r="H13" s="15"/>
      <c r="I13" s="15"/>
      <c r="J13" s="15"/>
      <c r="K13" s="16"/>
      <c r="L13" s="16"/>
      <c r="M13" s="16"/>
      <c r="N13" s="16"/>
      <c r="O13" s="16"/>
      <c r="P13" s="16"/>
      <c r="Q13" s="16"/>
      <c r="R13" s="16"/>
      <c r="S13" s="16"/>
      <c r="T13" s="29"/>
      <c r="U13" s="29"/>
    </row>
    <row r="14" spans="1:21" ht="16.95" customHeight="1" x14ac:dyDescent="0.25">
      <c r="A14" s="14"/>
      <c r="B14" s="15"/>
      <c r="C14" s="15"/>
      <c r="D14" s="15"/>
      <c r="E14" s="15"/>
      <c r="F14" s="15"/>
      <c r="G14" s="15"/>
      <c r="H14" s="15"/>
      <c r="I14" s="15"/>
      <c r="J14" s="15"/>
      <c r="K14" s="16"/>
      <c r="L14" s="16"/>
      <c r="M14" s="16"/>
      <c r="N14" s="16"/>
      <c r="O14" s="16"/>
      <c r="P14" s="16"/>
      <c r="Q14" s="16"/>
      <c r="R14" s="16"/>
      <c r="S14" s="16"/>
      <c r="T14" s="29"/>
      <c r="U14" s="29"/>
    </row>
    <row r="15" spans="1:21" ht="16.95" customHeight="1" x14ac:dyDescent="0.25">
      <c r="A15" s="14"/>
      <c r="B15" s="15"/>
      <c r="C15" s="15"/>
      <c r="D15" s="15"/>
      <c r="E15" s="15"/>
      <c r="F15" s="15"/>
      <c r="G15" s="15"/>
      <c r="H15" s="15"/>
      <c r="I15" s="15"/>
      <c r="J15" s="15"/>
      <c r="K15" s="16"/>
      <c r="L15" s="16"/>
      <c r="M15" s="16"/>
      <c r="N15" s="16"/>
      <c r="O15" s="16"/>
      <c r="P15" s="16"/>
      <c r="Q15" s="16"/>
      <c r="R15" s="16"/>
      <c r="S15" s="16"/>
      <c r="T15" s="29"/>
      <c r="U15" s="29"/>
    </row>
    <row r="16" spans="1:21" ht="16.95" customHeight="1" x14ac:dyDescent="0.25">
      <c r="A16" s="14"/>
      <c r="B16" s="15"/>
      <c r="C16" s="15"/>
      <c r="D16" s="15"/>
      <c r="E16" s="15"/>
      <c r="F16" s="15"/>
      <c r="G16" s="15"/>
      <c r="H16" s="15"/>
      <c r="I16" s="15"/>
      <c r="J16" s="15"/>
      <c r="K16" s="16"/>
      <c r="L16" s="16"/>
      <c r="M16" s="16"/>
      <c r="N16" s="16"/>
      <c r="O16" s="16"/>
      <c r="P16" s="16"/>
      <c r="Q16" s="16"/>
      <c r="R16" s="16"/>
      <c r="S16" s="16"/>
      <c r="T16" s="29"/>
      <c r="U16" s="29"/>
    </row>
    <row r="17" spans="1:21" ht="16.95" customHeight="1" x14ac:dyDescent="0.25">
      <c r="A17" s="14"/>
      <c r="B17" s="15"/>
      <c r="C17" s="15"/>
      <c r="D17" s="15"/>
      <c r="E17" s="15"/>
      <c r="F17" s="15"/>
      <c r="G17" s="15"/>
      <c r="H17" s="15"/>
      <c r="I17" s="15"/>
      <c r="J17" s="15"/>
      <c r="K17" s="16"/>
      <c r="L17" s="16"/>
      <c r="M17" s="16"/>
      <c r="N17" s="16"/>
      <c r="O17" s="16"/>
      <c r="P17" s="16"/>
      <c r="Q17" s="16"/>
      <c r="R17" s="16"/>
      <c r="S17" s="16"/>
      <c r="T17" s="29"/>
      <c r="U17" s="29"/>
    </row>
    <row r="18" spans="1:21" ht="16.95" customHeight="1" x14ac:dyDescent="0.25">
      <c r="A18" s="14"/>
      <c r="B18" s="15"/>
      <c r="C18" s="15"/>
      <c r="D18" s="15"/>
      <c r="E18" s="15"/>
      <c r="F18" s="15"/>
      <c r="G18" s="15"/>
      <c r="H18" s="15"/>
      <c r="I18" s="15"/>
      <c r="J18" s="15"/>
      <c r="K18" s="16"/>
      <c r="L18" s="16"/>
      <c r="M18" s="16"/>
      <c r="N18" s="16"/>
      <c r="O18" s="16"/>
      <c r="P18" s="16"/>
      <c r="Q18" s="16"/>
      <c r="R18" s="16"/>
      <c r="S18" s="16"/>
      <c r="T18" s="29"/>
      <c r="U18" s="29"/>
    </row>
    <row r="19" spans="1:21" ht="16.95" customHeight="1" x14ac:dyDescent="0.25">
      <c r="A19" s="14"/>
      <c r="B19" s="30" t="s">
        <v>657</v>
      </c>
      <c r="C19" s="30"/>
      <c r="D19" s="30"/>
      <c r="E19" s="30"/>
      <c r="F19" s="30"/>
      <c r="G19" s="30"/>
      <c r="H19" s="30"/>
      <c r="I19" s="30"/>
      <c r="J19" s="30"/>
      <c r="K19" s="29" t="s">
        <v>658</v>
      </c>
      <c r="L19" s="29"/>
      <c r="M19" s="29"/>
      <c r="N19" s="29"/>
      <c r="O19" s="29"/>
      <c r="P19" s="29"/>
      <c r="Q19" s="29"/>
      <c r="R19" s="29"/>
      <c r="S19" s="29"/>
      <c r="T19" s="29"/>
      <c r="U19" s="29"/>
    </row>
    <row r="20" spans="1:21" ht="16.95" customHeight="1" x14ac:dyDescent="0.25">
      <c r="A20" s="14"/>
      <c r="B20" s="30"/>
      <c r="C20" s="30"/>
      <c r="D20" s="30"/>
      <c r="E20" s="30"/>
      <c r="F20" s="30"/>
      <c r="G20" s="30"/>
      <c r="H20" s="30"/>
      <c r="I20" s="30"/>
      <c r="J20" s="30"/>
      <c r="K20" s="29"/>
      <c r="L20" s="29"/>
      <c r="M20" s="29"/>
      <c r="N20" s="29"/>
      <c r="O20" s="29"/>
      <c r="P20" s="29"/>
      <c r="Q20" s="29"/>
      <c r="R20" s="29"/>
      <c r="S20" s="29"/>
      <c r="T20" s="29"/>
      <c r="U20" s="29"/>
    </row>
    <row r="21" spans="1:21" ht="16.95" customHeight="1" x14ac:dyDescent="0.25">
      <c r="A21" s="14"/>
      <c r="B21" s="30"/>
      <c r="C21" s="30"/>
      <c r="D21" s="30"/>
      <c r="E21" s="30"/>
      <c r="F21" s="30"/>
      <c r="G21" s="30"/>
      <c r="H21" s="30"/>
      <c r="I21" s="30"/>
      <c r="J21" s="30"/>
      <c r="K21" s="29"/>
      <c r="L21" s="29"/>
      <c r="M21" s="29"/>
      <c r="N21" s="29"/>
      <c r="O21" s="29"/>
      <c r="P21" s="29"/>
      <c r="Q21" s="29"/>
      <c r="R21" s="29"/>
      <c r="S21" s="29"/>
      <c r="T21" s="29"/>
      <c r="U21" s="29"/>
    </row>
    <row r="22" spans="1:21" ht="16.95" customHeight="1" x14ac:dyDescent="0.25">
      <c r="A22" s="14"/>
      <c r="B22" s="15"/>
      <c r="C22" s="15"/>
      <c r="D22" s="15"/>
      <c r="E22" s="15"/>
      <c r="F22" s="15"/>
      <c r="G22" s="15"/>
      <c r="H22" s="15"/>
      <c r="I22" s="15"/>
      <c r="J22" s="15"/>
      <c r="K22" s="16"/>
      <c r="L22" s="16"/>
      <c r="M22" s="16"/>
      <c r="N22" s="16"/>
      <c r="O22" s="16"/>
      <c r="P22" s="16"/>
      <c r="Q22" s="16"/>
      <c r="R22" s="16"/>
      <c r="S22" s="16"/>
      <c r="T22" s="29"/>
      <c r="U22" s="29"/>
    </row>
    <row r="23" spans="1:21" ht="16.95" customHeight="1" x14ac:dyDescent="0.25">
      <c r="A23" s="14"/>
      <c r="B23" s="15"/>
      <c r="C23" s="15"/>
      <c r="D23" s="15"/>
      <c r="E23" s="15"/>
      <c r="F23" s="15"/>
      <c r="G23" s="15"/>
      <c r="H23" s="15"/>
      <c r="I23" s="15"/>
      <c r="J23" s="15"/>
      <c r="K23" s="16"/>
      <c r="L23" s="16"/>
      <c r="M23" s="16"/>
      <c r="N23" s="16"/>
      <c r="O23" s="16"/>
      <c r="P23" s="16"/>
      <c r="Q23" s="16"/>
      <c r="R23" s="16"/>
      <c r="S23" s="16"/>
      <c r="T23" s="29"/>
      <c r="U23" s="29"/>
    </row>
    <row r="24" spans="1:21" ht="16.95" customHeight="1" x14ac:dyDescent="0.25">
      <c r="A24" s="14"/>
      <c r="B24" s="15"/>
      <c r="C24" s="15"/>
      <c r="D24" s="15"/>
      <c r="E24" s="15"/>
      <c r="F24" s="15"/>
      <c r="G24" s="15"/>
      <c r="H24" s="15"/>
      <c r="I24" s="15"/>
      <c r="J24" s="15"/>
      <c r="K24" s="16"/>
      <c r="L24" s="16"/>
      <c r="M24" s="16"/>
      <c r="N24" s="16"/>
      <c r="O24" s="16"/>
      <c r="P24" s="16"/>
      <c r="Q24" s="16"/>
      <c r="R24" s="16"/>
      <c r="S24" s="16"/>
      <c r="T24" s="29"/>
      <c r="U24" s="29"/>
    </row>
    <row r="25" spans="1:21" ht="16.95" customHeight="1" x14ac:dyDescent="0.25">
      <c r="A25" s="14"/>
      <c r="B25" s="15"/>
      <c r="C25" s="15"/>
      <c r="D25" s="15"/>
      <c r="E25" s="15"/>
      <c r="F25" s="15"/>
      <c r="G25" s="15"/>
      <c r="H25" s="15"/>
      <c r="I25" s="15"/>
      <c r="J25" s="15"/>
      <c r="K25" s="16"/>
      <c r="L25" s="16"/>
      <c r="M25" s="16"/>
      <c r="N25" s="16"/>
      <c r="O25" s="16"/>
      <c r="P25" s="16"/>
      <c r="Q25" s="16"/>
      <c r="R25" s="16"/>
      <c r="S25" s="16"/>
      <c r="T25" s="29"/>
      <c r="U25" s="29"/>
    </row>
    <row r="26" spans="1:21" ht="16.95" customHeight="1" x14ac:dyDescent="0.25">
      <c r="A26" s="14"/>
      <c r="B26" s="15"/>
      <c r="C26" s="15"/>
      <c r="D26" s="15"/>
      <c r="E26" s="15"/>
      <c r="F26" s="15"/>
      <c r="G26" s="15"/>
      <c r="H26" s="15"/>
      <c r="I26" s="15"/>
      <c r="J26" s="15"/>
      <c r="K26" s="16"/>
      <c r="L26" s="16"/>
      <c r="M26" s="16"/>
      <c r="N26" s="16"/>
      <c r="O26" s="16"/>
      <c r="P26" s="16"/>
      <c r="Q26" s="16"/>
      <c r="R26" s="16"/>
      <c r="S26" s="16"/>
      <c r="T26" s="29"/>
      <c r="U26" s="29"/>
    </row>
    <row r="27" spans="1:21" ht="16.95" customHeight="1" x14ac:dyDescent="0.25">
      <c r="A27" s="14"/>
      <c r="B27" s="15"/>
      <c r="C27" s="15"/>
      <c r="D27" s="15"/>
      <c r="E27" s="15"/>
      <c r="F27" s="15"/>
      <c r="G27" s="15"/>
      <c r="H27" s="15"/>
      <c r="I27" s="15"/>
      <c r="J27" s="15"/>
      <c r="K27" s="16"/>
      <c r="L27" s="16"/>
      <c r="M27" s="16"/>
      <c r="N27" s="16"/>
      <c r="O27" s="16"/>
      <c r="P27" s="16"/>
      <c r="Q27" s="16"/>
      <c r="R27" s="16"/>
      <c r="S27" s="16"/>
      <c r="T27" s="29"/>
      <c r="U27" s="29"/>
    </row>
    <row r="28" spans="1:21" ht="16.95" customHeight="1" x14ac:dyDescent="0.25">
      <c r="A28" s="14"/>
      <c r="B28" s="15"/>
      <c r="C28" s="15"/>
      <c r="D28" s="15"/>
      <c r="E28" s="15"/>
      <c r="F28" s="15"/>
      <c r="G28" s="15"/>
      <c r="H28" s="15"/>
      <c r="I28" s="15"/>
      <c r="J28" s="15"/>
      <c r="K28" s="16"/>
      <c r="L28" s="16"/>
      <c r="M28" s="16"/>
      <c r="N28" s="16"/>
      <c r="O28" s="16"/>
      <c r="P28" s="16"/>
      <c r="Q28" s="16"/>
      <c r="R28" s="16"/>
      <c r="S28" s="16"/>
      <c r="T28" s="29"/>
      <c r="U28" s="29"/>
    </row>
    <row r="29" spans="1:21" ht="16.95" customHeight="1" x14ac:dyDescent="0.25">
      <c r="A29" s="14"/>
      <c r="B29" s="15"/>
      <c r="C29" s="15"/>
      <c r="D29" s="15"/>
      <c r="E29" s="15"/>
      <c r="F29" s="15"/>
      <c r="G29" s="15"/>
      <c r="H29" s="15"/>
      <c r="I29" s="15"/>
      <c r="J29" s="15"/>
      <c r="K29" s="16"/>
      <c r="L29" s="16"/>
      <c r="M29" s="16"/>
      <c r="N29" s="16"/>
      <c r="O29" s="16"/>
      <c r="P29" s="16"/>
      <c r="Q29" s="16"/>
      <c r="R29" s="16"/>
      <c r="S29" s="16"/>
      <c r="T29" s="29"/>
      <c r="U29" s="29"/>
    </row>
    <row r="30" spans="1:21" ht="7.95" customHeight="1" x14ac:dyDescent="0.25">
      <c r="A30" s="14"/>
      <c r="B30" s="14"/>
      <c r="C30" s="14"/>
      <c r="D30" s="14"/>
      <c r="E30" s="14"/>
      <c r="F30" s="14"/>
      <c r="G30" s="14"/>
      <c r="H30" s="14"/>
      <c r="I30" s="14"/>
      <c r="J30" s="14"/>
      <c r="K30" s="14"/>
      <c r="L30" s="14"/>
      <c r="M30" s="14"/>
      <c r="N30" s="14"/>
      <c r="O30" s="14"/>
      <c r="P30" s="14"/>
      <c r="Q30" s="14"/>
      <c r="R30" s="14"/>
      <c r="S30" s="14"/>
      <c r="T30" s="14"/>
    </row>
    <row r="31" spans="1:21" ht="22.05" customHeight="1" x14ac:dyDescent="0.25">
      <c r="A31" s="14"/>
      <c r="B31" s="31" t="s">
        <v>671</v>
      </c>
      <c r="C31" s="31"/>
      <c r="D31" s="31"/>
      <c r="E31" s="31"/>
      <c r="F31" s="31"/>
      <c r="G31" s="31"/>
      <c r="H31" s="31"/>
      <c r="I31" s="31"/>
      <c r="J31" s="31"/>
      <c r="K31" s="37" t="s">
        <v>672</v>
      </c>
      <c r="L31" s="37"/>
      <c r="M31" s="37"/>
      <c r="N31" s="37"/>
      <c r="O31" s="37"/>
      <c r="P31" s="37"/>
      <c r="Q31" s="37"/>
      <c r="R31" s="37"/>
      <c r="S31" s="37"/>
      <c r="T31" s="19"/>
      <c r="U31" s="19"/>
    </row>
    <row r="32" spans="1:21" ht="4.95" customHeight="1" x14ac:dyDescent="0.25">
      <c r="A32" s="14"/>
      <c r="B32" s="14"/>
      <c r="C32" s="14"/>
      <c r="D32" s="14"/>
      <c r="E32" s="14"/>
      <c r="F32" s="14"/>
      <c r="G32" s="14"/>
      <c r="H32" s="14"/>
      <c r="I32" s="14"/>
      <c r="J32" s="14"/>
      <c r="K32" s="14"/>
      <c r="L32" s="14"/>
      <c r="M32" s="14"/>
      <c r="N32" s="14"/>
      <c r="O32" s="14"/>
      <c r="P32" s="14"/>
      <c r="Q32" s="14"/>
      <c r="R32" s="14"/>
      <c r="S32" s="14"/>
      <c r="T32" s="14"/>
    </row>
    <row r="33" spans="1:21" ht="16.95" customHeight="1" x14ac:dyDescent="0.25">
      <c r="A33" s="14"/>
      <c r="B33" s="17"/>
      <c r="C33" s="17"/>
      <c r="D33" s="17"/>
      <c r="E33" s="17"/>
      <c r="F33" s="17"/>
      <c r="G33" s="17"/>
      <c r="H33" s="17"/>
      <c r="I33" s="17"/>
      <c r="J33" s="17"/>
      <c r="K33" s="18"/>
      <c r="L33" s="18"/>
      <c r="M33" s="18"/>
      <c r="N33" s="18"/>
      <c r="O33" s="18"/>
      <c r="P33" s="18"/>
      <c r="Q33" s="18"/>
      <c r="R33" s="18"/>
      <c r="S33" s="18"/>
      <c r="T33" s="36"/>
      <c r="U33" s="36"/>
    </row>
    <row r="34" spans="1:21" ht="16.95" customHeight="1" x14ac:dyDescent="0.25">
      <c r="A34" s="14"/>
      <c r="B34" s="17"/>
      <c r="C34" s="17"/>
      <c r="D34" s="17"/>
      <c r="E34" s="17"/>
      <c r="F34" s="17"/>
      <c r="G34" s="17"/>
      <c r="H34" s="17"/>
      <c r="I34" s="17"/>
      <c r="J34" s="17"/>
      <c r="K34" s="18"/>
      <c r="L34" s="18"/>
      <c r="M34" s="18"/>
      <c r="N34" s="18"/>
      <c r="O34" s="18"/>
      <c r="P34" s="18"/>
      <c r="Q34" s="18"/>
      <c r="R34" s="18"/>
      <c r="S34" s="18"/>
      <c r="T34" s="36"/>
      <c r="U34" s="36"/>
    </row>
    <row r="35" spans="1:21" ht="16.95" customHeight="1" x14ac:dyDescent="0.25">
      <c r="A35" s="14"/>
      <c r="B35" s="17"/>
      <c r="C35" s="17"/>
      <c r="D35" s="17"/>
      <c r="E35" s="17"/>
      <c r="F35" s="17"/>
      <c r="G35" s="17"/>
      <c r="H35" s="17"/>
      <c r="I35" s="17"/>
      <c r="J35" s="17"/>
      <c r="K35" s="18"/>
      <c r="L35" s="18"/>
      <c r="M35" s="18"/>
      <c r="N35" s="18"/>
      <c r="O35" s="18"/>
      <c r="P35" s="18"/>
      <c r="Q35" s="18"/>
      <c r="R35" s="18"/>
      <c r="S35" s="18"/>
      <c r="T35" s="36"/>
      <c r="U35" s="36"/>
    </row>
    <row r="36" spans="1:21" ht="16.95" customHeight="1" x14ac:dyDescent="0.25">
      <c r="A36" s="14"/>
      <c r="B36" s="17"/>
      <c r="C36" s="17"/>
      <c r="D36" s="17"/>
      <c r="E36" s="17"/>
      <c r="F36" s="17"/>
      <c r="G36" s="17"/>
      <c r="H36" s="17"/>
      <c r="I36" s="17"/>
      <c r="J36" s="17"/>
      <c r="K36" s="18"/>
      <c r="L36" s="18"/>
      <c r="M36" s="18"/>
      <c r="N36" s="18"/>
      <c r="O36" s="18"/>
      <c r="P36" s="18"/>
      <c r="Q36" s="18"/>
      <c r="R36" s="18"/>
      <c r="S36" s="18"/>
      <c r="T36" s="36"/>
      <c r="U36" s="36"/>
    </row>
    <row r="37" spans="1:21" ht="16.95" customHeight="1" x14ac:dyDescent="0.25">
      <c r="A37" s="14"/>
      <c r="B37" s="17"/>
      <c r="C37" s="17"/>
      <c r="D37" s="17"/>
      <c r="E37" s="17"/>
      <c r="F37" s="17"/>
      <c r="G37" s="17"/>
      <c r="H37" s="17"/>
      <c r="I37" s="17"/>
      <c r="J37" s="17"/>
      <c r="K37" s="18"/>
      <c r="L37" s="18"/>
      <c r="M37" s="18"/>
      <c r="N37" s="18"/>
      <c r="O37" s="18"/>
      <c r="P37" s="18"/>
      <c r="Q37" s="18"/>
      <c r="R37" s="18"/>
      <c r="S37" s="18"/>
      <c r="T37" s="36"/>
      <c r="U37" s="36"/>
    </row>
    <row r="38" spans="1:21" ht="16.95" customHeight="1" x14ac:dyDescent="0.25">
      <c r="A38" s="14"/>
      <c r="B38" s="17"/>
      <c r="C38" s="17"/>
      <c r="D38" s="17"/>
      <c r="E38" s="17"/>
      <c r="F38" s="17"/>
      <c r="G38" s="17"/>
      <c r="H38" s="17"/>
      <c r="I38" s="17"/>
      <c r="J38" s="17"/>
      <c r="K38" s="18"/>
      <c r="L38" s="18"/>
      <c r="M38" s="18"/>
      <c r="N38" s="18"/>
      <c r="O38" s="18"/>
      <c r="P38" s="18"/>
      <c r="Q38" s="18"/>
      <c r="R38" s="18"/>
      <c r="S38" s="18"/>
      <c r="T38" s="36"/>
      <c r="U38" s="36"/>
    </row>
    <row r="39" spans="1:21" ht="16.95" customHeight="1" x14ac:dyDescent="0.25">
      <c r="A39" s="14"/>
      <c r="B39" s="17"/>
      <c r="C39" s="17"/>
      <c r="D39" s="17"/>
      <c r="E39" s="17"/>
      <c r="F39" s="17"/>
      <c r="G39" s="17"/>
      <c r="H39" s="17"/>
      <c r="I39" s="17"/>
      <c r="J39" s="17"/>
      <c r="K39" s="18"/>
      <c r="L39" s="18"/>
      <c r="M39" s="18"/>
      <c r="N39" s="18"/>
      <c r="O39" s="18"/>
      <c r="P39" s="18"/>
      <c r="Q39" s="18"/>
      <c r="R39" s="18"/>
      <c r="S39" s="18"/>
      <c r="T39" s="36"/>
      <c r="U39" s="36"/>
    </row>
    <row r="40" spans="1:21" ht="16.95" customHeight="1" x14ac:dyDescent="0.25">
      <c r="A40" s="14"/>
      <c r="B40" s="32" t="s">
        <v>659</v>
      </c>
      <c r="C40" s="32"/>
      <c r="D40" s="32"/>
      <c r="E40" s="32"/>
      <c r="F40" s="32"/>
      <c r="G40" s="32"/>
      <c r="H40" s="32"/>
      <c r="I40" s="32"/>
      <c r="J40" s="32"/>
      <c r="K40" s="36" t="s">
        <v>660</v>
      </c>
      <c r="L40" s="36"/>
      <c r="M40" s="36"/>
      <c r="N40" s="36"/>
      <c r="O40" s="36"/>
      <c r="P40" s="36"/>
      <c r="Q40" s="36"/>
      <c r="R40" s="36"/>
      <c r="S40" s="36"/>
      <c r="T40" s="36"/>
      <c r="U40" s="36"/>
    </row>
    <row r="41" spans="1:21" ht="16.95" customHeight="1" x14ac:dyDescent="0.25">
      <c r="A41" s="14"/>
      <c r="B41" s="32"/>
      <c r="C41" s="32"/>
      <c r="D41" s="32"/>
      <c r="E41" s="32"/>
      <c r="F41" s="32"/>
      <c r="G41" s="32"/>
      <c r="H41" s="32"/>
      <c r="I41" s="32"/>
      <c r="J41" s="32"/>
      <c r="K41" s="36"/>
      <c r="L41" s="36"/>
      <c r="M41" s="36"/>
      <c r="N41" s="36"/>
      <c r="O41" s="36"/>
      <c r="P41" s="36"/>
      <c r="Q41" s="36"/>
      <c r="R41" s="36"/>
      <c r="S41" s="36"/>
      <c r="T41" s="36"/>
      <c r="U41" s="36"/>
    </row>
    <row r="42" spans="1:21" ht="16.95" customHeight="1" x14ac:dyDescent="0.25">
      <c r="A42" s="14"/>
      <c r="B42" s="32"/>
      <c r="C42" s="32"/>
      <c r="D42" s="32"/>
      <c r="E42" s="32"/>
      <c r="F42" s="32"/>
      <c r="G42" s="32"/>
      <c r="H42" s="32"/>
      <c r="I42" s="32"/>
      <c r="J42" s="32"/>
      <c r="K42" s="36"/>
      <c r="L42" s="36"/>
      <c r="M42" s="36"/>
      <c r="N42" s="36"/>
      <c r="O42" s="36"/>
      <c r="P42" s="36"/>
      <c r="Q42" s="36"/>
      <c r="R42" s="36"/>
      <c r="S42" s="36"/>
      <c r="T42" s="36"/>
      <c r="U42" s="36"/>
    </row>
    <row r="43" spans="1:21" ht="16.95" customHeight="1" x14ac:dyDescent="0.25">
      <c r="A43" s="14"/>
      <c r="B43" s="17"/>
      <c r="C43" s="17"/>
      <c r="D43" s="17"/>
      <c r="E43" s="17"/>
      <c r="F43" s="17"/>
      <c r="G43" s="17"/>
      <c r="H43" s="17"/>
      <c r="I43" s="17"/>
      <c r="J43" s="17"/>
      <c r="K43" s="18"/>
      <c r="L43" s="18"/>
      <c r="M43" s="18"/>
      <c r="N43" s="18"/>
      <c r="O43" s="18"/>
      <c r="P43" s="18"/>
      <c r="Q43" s="18"/>
      <c r="R43" s="18"/>
      <c r="S43" s="18"/>
      <c r="T43" s="36"/>
      <c r="U43" s="36"/>
    </row>
    <row r="44" spans="1:21" ht="16.95" customHeight="1" x14ac:dyDescent="0.25">
      <c r="A44" s="14"/>
      <c r="B44" s="17"/>
      <c r="C44" s="17"/>
      <c r="D44" s="17"/>
      <c r="E44" s="17"/>
      <c r="F44" s="17"/>
      <c r="G44" s="17"/>
      <c r="H44" s="17"/>
      <c r="I44" s="17"/>
      <c r="J44" s="17"/>
      <c r="K44" s="18"/>
      <c r="L44" s="18"/>
      <c r="M44" s="18"/>
      <c r="N44" s="18"/>
      <c r="O44" s="18"/>
      <c r="P44" s="18"/>
      <c r="Q44" s="18"/>
      <c r="R44" s="18"/>
      <c r="S44" s="18"/>
      <c r="T44" s="36"/>
      <c r="U44" s="36"/>
    </row>
    <row r="45" spans="1:21" ht="16.95" customHeight="1" x14ac:dyDescent="0.25">
      <c r="A45" s="14"/>
      <c r="B45" s="17"/>
      <c r="C45" s="17"/>
      <c r="D45" s="17"/>
      <c r="E45" s="17"/>
      <c r="F45" s="17"/>
      <c r="G45" s="17"/>
      <c r="H45" s="17"/>
      <c r="I45" s="17"/>
      <c r="J45" s="17"/>
      <c r="K45" s="18"/>
      <c r="L45" s="18"/>
      <c r="M45" s="18"/>
      <c r="N45" s="18"/>
      <c r="O45" s="18"/>
      <c r="P45" s="18"/>
      <c r="Q45" s="18"/>
      <c r="R45" s="18"/>
      <c r="S45" s="18"/>
      <c r="T45" s="36"/>
      <c r="U45" s="36"/>
    </row>
    <row r="46" spans="1:21" ht="16.95" customHeight="1" x14ac:dyDescent="0.25">
      <c r="A46" s="14"/>
      <c r="B46" s="17"/>
      <c r="C46" s="17"/>
      <c r="D46" s="17"/>
      <c r="E46" s="17"/>
      <c r="F46" s="17"/>
      <c r="G46" s="17"/>
      <c r="H46" s="17"/>
      <c r="I46" s="17"/>
      <c r="J46" s="17"/>
      <c r="K46" s="18"/>
      <c r="L46" s="18"/>
      <c r="M46" s="18"/>
      <c r="N46" s="18"/>
      <c r="O46" s="18"/>
      <c r="P46" s="18"/>
      <c r="Q46" s="18"/>
      <c r="R46" s="18"/>
      <c r="S46" s="18"/>
      <c r="T46" s="36"/>
      <c r="U46" s="36"/>
    </row>
    <row r="47" spans="1:21" ht="16.95" customHeight="1" x14ac:dyDescent="0.25">
      <c r="A47" s="14"/>
      <c r="B47" s="17"/>
      <c r="C47" s="17"/>
      <c r="D47" s="17"/>
      <c r="E47" s="17"/>
      <c r="F47" s="17"/>
      <c r="G47" s="17"/>
      <c r="H47" s="17"/>
      <c r="I47" s="17"/>
      <c r="J47" s="17"/>
      <c r="K47" s="18"/>
      <c r="L47" s="18"/>
      <c r="M47" s="18"/>
      <c r="N47" s="18"/>
      <c r="O47" s="18"/>
      <c r="P47" s="18"/>
      <c r="Q47" s="18"/>
      <c r="R47" s="18"/>
      <c r="S47" s="18"/>
      <c r="T47" s="36"/>
      <c r="U47" s="36"/>
    </row>
    <row r="48" spans="1:21" ht="16.95" customHeight="1" x14ac:dyDescent="0.25">
      <c r="A48" s="14"/>
      <c r="B48" s="17"/>
      <c r="C48" s="17"/>
      <c r="D48" s="17"/>
      <c r="E48" s="17"/>
      <c r="F48" s="17"/>
      <c r="G48" s="17"/>
      <c r="H48" s="17"/>
      <c r="I48" s="17"/>
      <c r="J48" s="17"/>
      <c r="K48" s="18"/>
      <c r="L48" s="18"/>
      <c r="M48" s="18"/>
      <c r="N48" s="18"/>
      <c r="O48" s="18"/>
      <c r="P48" s="18"/>
      <c r="Q48" s="18"/>
      <c r="R48" s="18"/>
      <c r="S48" s="18"/>
      <c r="T48" s="36"/>
      <c r="U48" s="36"/>
    </row>
    <row r="49" spans="1:35" ht="16.95" customHeight="1" x14ac:dyDescent="0.25">
      <c r="A49" s="14"/>
      <c r="B49" s="17"/>
      <c r="C49" s="17"/>
      <c r="D49" s="17"/>
      <c r="E49" s="17"/>
      <c r="F49" s="17"/>
      <c r="G49" s="17"/>
      <c r="H49" s="17"/>
      <c r="I49" s="17"/>
      <c r="J49" s="17"/>
      <c r="K49" s="18"/>
      <c r="L49" s="18"/>
      <c r="M49" s="18"/>
      <c r="N49" s="18"/>
      <c r="O49" s="18"/>
      <c r="P49" s="18"/>
      <c r="Q49" s="18"/>
      <c r="R49" s="18"/>
      <c r="S49" s="18"/>
      <c r="T49" s="36"/>
      <c r="U49" s="36"/>
    </row>
    <row r="50" spans="1:35" ht="7.95" customHeight="1" x14ac:dyDescent="0.25">
      <c r="A50" s="14"/>
      <c r="B50" s="14"/>
      <c r="C50" s="14"/>
      <c r="D50" s="14"/>
      <c r="E50" s="14"/>
      <c r="F50" s="14"/>
      <c r="G50" s="14"/>
      <c r="H50" s="14"/>
      <c r="I50" s="14"/>
      <c r="J50" s="14"/>
      <c r="K50" s="14"/>
      <c r="L50" s="14"/>
      <c r="M50" s="14"/>
      <c r="N50" s="14"/>
      <c r="O50" s="14"/>
      <c r="P50" s="14"/>
      <c r="Q50" s="14"/>
      <c r="R50" s="14"/>
      <c r="S50" s="14"/>
      <c r="T50" s="14"/>
    </row>
    <row r="51" spans="1:35" ht="22.05" customHeight="1" x14ac:dyDescent="0.25">
      <c r="A51" s="14"/>
      <c r="B51" s="38" t="s">
        <v>674</v>
      </c>
      <c r="C51" s="38"/>
      <c r="D51" s="38"/>
      <c r="E51" s="38"/>
      <c r="F51" s="38"/>
      <c r="G51" s="38"/>
      <c r="H51" s="38"/>
      <c r="I51" s="38"/>
      <c r="J51" s="38"/>
      <c r="K51" s="43" t="s">
        <v>673</v>
      </c>
      <c r="L51" s="43"/>
      <c r="M51" s="43"/>
      <c r="N51" s="43"/>
      <c r="O51" s="43"/>
      <c r="P51" s="43"/>
      <c r="Q51" s="43"/>
      <c r="R51" s="43"/>
      <c r="S51" s="43"/>
      <c r="T51" s="43"/>
      <c r="U51" s="43"/>
    </row>
    <row r="52" spans="1:35" ht="4.95" customHeight="1" x14ac:dyDescent="0.25">
      <c r="A52" s="14"/>
      <c r="B52" s="14"/>
      <c r="C52" s="14"/>
      <c r="D52" s="14"/>
      <c r="E52" s="14"/>
      <c r="F52" s="14"/>
      <c r="G52" s="14"/>
      <c r="H52" s="14"/>
      <c r="I52" s="14"/>
      <c r="J52" s="14"/>
      <c r="K52" s="14"/>
      <c r="L52" s="14"/>
      <c r="M52" s="14"/>
      <c r="N52" s="14"/>
      <c r="O52" s="14"/>
      <c r="P52" s="14"/>
      <c r="Q52" s="14"/>
      <c r="R52" s="14"/>
      <c r="S52" s="14"/>
      <c r="T52" s="14"/>
    </row>
    <row r="53" spans="1:35" ht="16.95" customHeight="1" x14ac:dyDescent="0.25">
      <c r="A53" s="14"/>
      <c r="B53" s="16"/>
      <c r="C53" s="16"/>
      <c r="D53" s="16"/>
      <c r="E53" s="16"/>
      <c r="F53" s="16"/>
      <c r="G53" s="16"/>
      <c r="H53" s="16"/>
      <c r="I53" s="16"/>
      <c r="J53" s="16"/>
      <c r="K53" s="15"/>
      <c r="L53" s="15"/>
      <c r="M53" s="15"/>
      <c r="N53" s="15"/>
      <c r="O53" s="15"/>
      <c r="P53" s="15"/>
      <c r="Q53" s="15"/>
      <c r="R53" s="15"/>
      <c r="S53" s="15"/>
      <c r="T53" s="30"/>
      <c r="U53" s="30"/>
    </row>
    <row r="54" spans="1:35" ht="16.95" customHeight="1" x14ac:dyDescent="0.25">
      <c r="A54" s="14"/>
      <c r="B54" s="16"/>
      <c r="C54" s="16"/>
      <c r="D54" s="16"/>
      <c r="E54" s="16"/>
      <c r="F54" s="16"/>
      <c r="G54" s="16"/>
      <c r="H54" s="16"/>
      <c r="I54" s="16"/>
      <c r="J54" s="16"/>
      <c r="K54" s="15"/>
      <c r="L54" s="15"/>
      <c r="M54" s="15"/>
      <c r="N54" s="15"/>
      <c r="O54" s="15"/>
      <c r="P54" s="15"/>
      <c r="Q54" s="15"/>
      <c r="R54" s="15"/>
      <c r="S54" s="15"/>
      <c r="T54" s="30"/>
      <c r="U54" s="30"/>
    </row>
    <row r="55" spans="1:35" ht="16.95" customHeight="1" x14ac:dyDescent="0.25">
      <c r="A55" s="14"/>
      <c r="B55" s="16"/>
      <c r="C55" s="16"/>
      <c r="D55" s="16"/>
      <c r="E55" s="16"/>
      <c r="F55" s="16"/>
      <c r="G55" s="16"/>
      <c r="H55" s="16"/>
      <c r="I55" s="16"/>
      <c r="J55" s="16"/>
      <c r="K55" s="15"/>
      <c r="L55" s="15"/>
      <c r="M55" s="15"/>
      <c r="N55" s="15"/>
      <c r="O55" s="15"/>
      <c r="P55" s="15"/>
      <c r="Q55" s="15"/>
      <c r="R55" s="15"/>
      <c r="S55" s="15"/>
      <c r="T55" s="30"/>
      <c r="U55" s="30"/>
    </row>
    <row r="56" spans="1:35" ht="16.95" customHeight="1" x14ac:dyDescent="0.25">
      <c r="A56" s="14"/>
      <c r="B56" s="16"/>
      <c r="C56" s="16"/>
      <c r="D56" s="16"/>
      <c r="E56" s="16"/>
      <c r="F56" s="16"/>
      <c r="G56" s="16"/>
      <c r="H56" s="16"/>
      <c r="I56" s="16"/>
      <c r="J56" s="16"/>
      <c r="K56" s="15"/>
      <c r="L56" s="15"/>
      <c r="M56" s="15"/>
      <c r="N56" s="15"/>
      <c r="O56" s="15"/>
      <c r="P56" s="15"/>
      <c r="Q56" s="15"/>
      <c r="R56" s="15"/>
      <c r="S56" s="15"/>
      <c r="T56" s="30"/>
      <c r="U56" s="30"/>
    </row>
    <row r="57" spans="1:35" ht="16.95" customHeight="1" x14ac:dyDescent="0.25">
      <c r="A57" s="14"/>
      <c r="B57" s="16"/>
      <c r="C57" s="16"/>
      <c r="D57" s="16"/>
      <c r="E57" s="16"/>
      <c r="F57" s="16"/>
      <c r="G57" s="16"/>
      <c r="H57" s="16"/>
      <c r="I57" s="16"/>
      <c r="J57" s="16"/>
      <c r="K57" s="15"/>
      <c r="L57" s="15"/>
      <c r="M57" s="15"/>
      <c r="N57" s="15"/>
      <c r="O57" s="15"/>
      <c r="P57" s="15"/>
      <c r="Q57" s="15"/>
      <c r="R57" s="15"/>
      <c r="S57" s="15"/>
      <c r="T57" s="30"/>
      <c r="U57" s="30"/>
      <c r="AI57" t="s">
        <v>676</v>
      </c>
    </row>
    <row r="58" spans="1:35" ht="16.95" customHeight="1" x14ac:dyDescent="0.25">
      <c r="A58" s="14"/>
      <c r="B58" s="16"/>
      <c r="C58" s="16"/>
      <c r="D58" s="16"/>
      <c r="E58" s="16"/>
      <c r="F58" s="16"/>
      <c r="G58" s="16"/>
      <c r="H58" s="16"/>
      <c r="I58" s="16"/>
      <c r="J58" s="16"/>
      <c r="K58" s="15"/>
      <c r="L58" s="15"/>
      <c r="M58" s="15"/>
      <c r="N58" s="15"/>
      <c r="O58" s="15"/>
      <c r="P58" s="15"/>
      <c r="Q58" s="15"/>
      <c r="R58" s="15"/>
      <c r="S58" s="15"/>
      <c r="T58" s="30"/>
      <c r="U58" s="30"/>
    </row>
    <row r="59" spans="1:35" ht="16.95" customHeight="1" x14ac:dyDescent="0.25">
      <c r="A59" s="14"/>
      <c r="B59" s="16"/>
      <c r="C59" s="16"/>
      <c r="D59" s="16"/>
      <c r="E59" s="16"/>
      <c r="F59" s="16"/>
      <c r="G59" s="16"/>
      <c r="H59" s="16"/>
      <c r="I59" s="16"/>
      <c r="J59" s="16"/>
      <c r="K59" s="15"/>
      <c r="L59" s="15"/>
      <c r="M59" s="15"/>
      <c r="N59" s="15"/>
      <c r="O59" s="15"/>
      <c r="P59" s="15"/>
      <c r="Q59" s="15"/>
      <c r="R59" s="15"/>
      <c r="S59" s="15"/>
      <c r="T59" s="30"/>
      <c r="U59" s="30"/>
    </row>
    <row r="60" spans="1:35" ht="16.95" customHeight="1" x14ac:dyDescent="0.25">
      <c r="A60" s="14"/>
      <c r="B60" s="29" t="s">
        <v>661</v>
      </c>
      <c r="C60" s="29"/>
      <c r="D60" s="29"/>
      <c r="E60" s="29"/>
      <c r="F60" s="29"/>
      <c r="G60" s="29"/>
      <c r="H60" s="29"/>
      <c r="I60" s="29"/>
      <c r="J60" s="29"/>
      <c r="K60" s="30" t="s">
        <v>662</v>
      </c>
      <c r="L60" s="30"/>
      <c r="M60" s="30"/>
      <c r="N60" s="30"/>
      <c r="O60" s="30"/>
      <c r="P60" s="30"/>
      <c r="Q60" s="30"/>
      <c r="R60" s="30"/>
      <c r="S60" s="30"/>
      <c r="T60" s="30"/>
      <c r="U60" s="30"/>
    </row>
    <row r="61" spans="1:35" ht="16.95" customHeight="1" x14ac:dyDescent="0.25">
      <c r="A61" s="14"/>
      <c r="B61" s="29"/>
      <c r="C61" s="29"/>
      <c r="D61" s="29"/>
      <c r="E61" s="29"/>
      <c r="F61" s="29"/>
      <c r="G61" s="29"/>
      <c r="H61" s="29"/>
      <c r="I61" s="29"/>
      <c r="J61" s="29"/>
      <c r="K61" s="30"/>
      <c r="L61" s="30"/>
      <c r="M61" s="30"/>
      <c r="N61" s="30"/>
      <c r="O61" s="30"/>
      <c r="P61" s="30"/>
      <c r="Q61" s="30"/>
      <c r="R61" s="30"/>
      <c r="S61" s="30"/>
      <c r="T61" s="30"/>
      <c r="U61" s="30"/>
    </row>
    <row r="62" spans="1:35" ht="16.95" customHeight="1" x14ac:dyDescent="0.25">
      <c r="A62" s="14"/>
      <c r="B62" s="29"/>
      <c r="C62" s="29"/>
      <c r="D62" s="29"/>
      <c r="E62" s="29"/>
      <c r="F62" s="29"/>
      <c r="G62" s="29"/>
      <c r="H62" s="29"/>
      <c r="I62" s="29"/>
      <c r="J62" s="29"/>
      <c r="K62" s="30"/>
      <c r="L62" s="30"/>
      <c r="M62" s="30"/>
      <c r="N62" s="30"/>
      <c r="O62" s="30"/>
      <c r="P62" s="30"/>
      <c r="Q62" s="30"/>
      <c r="R62" s="30"/>
      <c r="S62" s="30"/>
      <c r="T62" s="30"/>
      <c r="U62" s="30"/>
    </row>
    <row r="63" spans="1:35" ht="16.95" customHeight="1" x14ac:dyDescent="0.25">
      <c r="A63" s="14"/>
      <c r="B63" s="16"/>
      <c r="C63" s="16"/>
      <c r="D63" s="16"/>
      <c r="E63" s="16"/>
      <c r="F63" s="16"/>
      <c r="G63" s="16"/>
      <c r="H63" s="16"/>
      <c r="I63" s="16"/>
      <c r="J63" s="16"/>
      <c r="K63" s="15"/>
      <c r="L63" s="15"/>
      <c r="M63" s="15"/>
      <c r="N63" s="15"/>
      <c r="O63" s="15"/>
      <c r="P63" s="15"/>
      <c r="Q63" s="15"/>
      <c r="R63" s="15"/>
      <c r="S63" s="15"/>
      <c r="T63" s="30"/>
      <c r="U63" s="30"/>
    </row>
    <row r="64" spans="1:35" ht="16.95" customHeight="1" x14ac:dyDescent="0.25">
      <c r="A64" s="14"/>
      <c r="B64" s="16"/>
      <c r="C64" s="16"/>
      <c r="D64" s="16"/>
      <c r="E64" s="16"/>
      <c r="F64" s="16"/>
      <c r="G64" s="16"/>
      <c r="H64" s="16"/>
      <c r="I64" s="16"/>
      <c r="J64" s="16"/>
      <c r="K64" s="15"/>
      <c r="L64" s="15"/>
      <c r="M64" s="15"/>
      <c r="N64" s="15"/>
      <c r="O64" s="15"/>
      <c r="P64" s="15"/>
      <c r="Q64" s="15"/>
      <c r="R64" s="15"/>
      <c r="S64" s="15"/>
      <c r="T64" s="30"/>
      <c r="U64" s="30"/>
    </row>
    <row r="65" spans="1:21" ht="16.95" customHeight="1" x14ac:dyDescent="0.25">
      <c r="A65" s="14"/>
      <c r="B65" s="16"/>
      <c r="C65" s="16"/>
      <c r="D65" s="16"/>
      <c r="E65" s="16"/>
      <c r="F65" s="16"/>
      <c r="G65" s="16"/>
      <c r="H65" s="16"/>
      <c r="I65" s="16"/>
      <c r="J65" s="16"/>
      <c r="K65" s="15"/>
      <c r="L65" s="15"/>
      <c r="M65" s="15"/>
      <c r="N65" s="15"/>
      <c r="O65" s="15"/>
      <c r="P65" s="15"/>
      <c r="Q65" s="15"/>
      <c r="R65" s="15"/>
      <c r="S65" s="15"/>
      <c r="T65" s="30"/>
      <c r="U65" s="30"/>
    </row>
    <row r="66" spans="1:21" ht="16.95" customHeight="1" x14ac:dyDescent="0.25">
      <c r="A66" s="14"/>
      <c r="B66" s="16"/>
      <c r="C66" s="16"/>
      <c r="D66" s="16"/>
      <c r="E66" s="16"/>
      <c r="F66" s="16"/>
      <c r="G66" s="16"/>
      <c r="H66" s="16"/>
      <c r="I66" s="16"/>
      <c r="J66" s="16"/>
      <c r="K66" s="15"/>
      <c r="L66" s="15"/>
      <c r="M66" s="15"/>
      <c r="N66" s="15"/>
      <c r="O66" s="15"/>
      <c r="P66" s="15"/>
      <c r="Q66" s="15"/>
      <c r="R66" s="15"/>
      <c r="S66" s="15"/>
      <c r="T66" s="30"/>
      <c r="U66" s="30"/>
    </row>
    <row r="67" spans="1:21" ht="16.95" customHeight="1" x14ac:dyDescent="0.25">
      <c r="A67" s="14"/>
      <c r="B67" s="16"/>
      <c r="C67" s="16"/>
      <c r="D67" s="16"/>
      <c r="E67" s="16"/>
      <c r="F67" s="16"/>
      <c r="G67" s="16"/>
      <c r="H67" s="16"/>
      <c r="I67" s="16"/>
      <c r="J67" s="16"/>
      <c r="K67" s="15"/>
      <c r="L67" s="15"/>
      <c r="M67" s="15"/>
      <c r="N67" s="15"/>
      <c r="O67" s="15"/>
      <c r="P67" s="15"/>
      <c r="Q67" s="15"/>
      <c r="R67" s="15"/>
      <c r="S67" s="15"/>
      <c r="T67" s="30"/>
      <c r="U67" s="30"/>
    </row>
    <row r="68" spans="1:21" ht="16.95" customHeight="1" x14ac:dyDescent="0.25">
      <c r="A68" s="14"/>
      <c r="B68" s="16"/>
      <c r="C68" s="16"/>
      <c r="D68" s="16"/>
      <c r="E68" s="16"/>
      <c r="F68" s="16"/>
      <c r="G68" s="16"/>
      <c r="H68" s="16"/>
      <c r="I68" s="16"/>
      <c r="J68" s="16"/>
      <c r="K68" s="15"/>
      <c r="L68" s="15"/>
      <c r="M68" s="15"/>
      <c r="N68" s="15"/>
      <c r="O68" s="15"/>
      <c r="P68" s="15"/>
      <c r="Q68" s="15"/>
      <c r="R68" s="15"/>
      <c r="S68" s="15"/>
      <c r="T68" s="30"/>
      <c r="U68" s="30"/>
    </row>
    <row r="69" spans="1:21" ht="18" customHeight="1" x14ac:dyDescent="0.25">
      <c r="A69" s="35" t="s">
        <v>667</v>
      </c>
      <c r="B69" s="35"/>
      <c r="C69" s="35"/>
      <c r="D69" s="35"/>
      <c r="E69" s="35"/>
      <c r="F69" s="35"/>
      <c r="G69" s="35"/>
      <c r="H69" s="35"/>
      <c r="I69" s="35"/>
      <c r="J69" s="35"/>
      <c r="K69" s="35"/>
      <c r="L69" s="35"/>
      <c r="M69" s="35"/>
      <c r="N69" s="35"/>
      <c r="O69" s="35"/>
      <c r="P69" s="35"/>
      <c r="Q69" s="35"/>
      <c r="R69" s="35"/>
      <c r="S69" s="35"/>
      <c r="T69" s="35"/>
      <c r="U69" s="7"/>
    </row>
  </sheetData>
  <mergeCells count="77">
    <mergeCell ref="A1:U2"/>
    <mergeCell ref="K9:U9"/>
    <mergeCell ref="K51:U51"/>
    <mergeCell ref="T64:U64"/>
    <mergeCell ref="T65:U65"/>
    <mergeCell ref="T54:U54"/>
    <mergeCell ref="T55:U55"/>
    <mergeCell ref="T56:U56"/>
    <mergeCell ref="T57:U57"/>
    <mergeCell ref="T58:U58"/>
    <mergeCell ref="T46:U46"/>
    <mergeCell ref="T47:U47"/>
    <mergeCell ref="T48:U48"/>
    <mergeCell ref="T49:U49"/>
    <mergeCell ref="T53:U53"/>
    <mergeCell ref="T28:U28"/>
    <mergeCell ref="T66:U66"/>
    <mergeCell ref="T67:U67"/>
    <mergeCell ref="T68:U68"/>
    <mergeCell ref="T59:U59"/>
    <mergeCell ref="T60:U60"/>
    <mergeCell ref="T61:U61"/>
    <mergeCell ref="T62:U62"/>
    <mergeCell ref="T63:U63"/>
    <mergeCell ref="T29:U29"/>
    <mergeCell ref="T33:U33"/>
    <mergeCell ref="T34:U34"/>
    <mergeCell ref="T23:U23"/>
    <mergeCell ref="T24:U24"/>
    <mergeCell ref="T25:U25"/>
    <mergeCell ref="T26:U26"/>
    <mergeCell ref="T27:U27"/>
    <mergeCell ref="T21:U21"/>
    <mergeCell ref="T22:U22"/>
    <mergeCell ref="K19:S21"/>
    <mergeCell ref="R5:U5"/>
    <mergeCell ref="R6:U7"/>
    <mergeCell ref="T16:U16"/>
    <mergeCell ref="T17:U17"/>
    <mergeCell ref="T18:U18"/>
    <mergeCell ref="T19:U19"/>
    <mergeCell ref="T20:U20"/>
    <mergeCell ref="T11:U11"/>
    <mergeCell ref="T12:U12"/>
    <mergeCell ref="T13:U13"/>
    <mergeCell ref="T14:U14"/>
    <mergeCell ref="T15:U15"/>
    <mergeCell ref="A69:T69"/>
    <mergeCell ref="K60:S62"/>
    <mergeCell ref="K40:S42"/>
    <mergeCell ref="K31:S31"/>
    <mergeCell ref="T35:U35"/>
    <mergeCell ref="T36:U36"/>
    <mergeCell ref="T37:U37"/>
    <mergeCell ref="T38:U38"/>
    <mergeCell ref="T39:U39"/>
    <mergeCell ref="T40:U40"/>
    <mergeCell ref="T41:U41"/>
    <mergeCell ref="T42:U42"/>
    <mergeCell ref="T43:U43"/>
    <mergeCell ref="T44:U44"/>
    <mergeCell ref="T45:U45"/>
    <mergeCell ref="B51:J51"/>
    <mergeCell ref="B60:J62"/>
    <mergeCell ref="B19:J21"/>
    <mergeCell ref="B31:J31"/>
    <mergeCell ref="B40:J42"/>
    <mergeCell ref="B9:J9"/>
    <mergeCell ref="B3:U4"/>
    <mergeCell ref="B6:E7"/>
    <mergeCell ref="F6:I7"/>
    <mergeCell ref="J6:M7"/>
    <mergeCell ref="N6:Q7"/>
    <mergeCell ref="B5:E5"/>
    <mergeCell ref="F5:I5"/>
    <mergeCell ref="J5:M5"/>
    <mergeCell ref="N5:Q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showGridLines="0" zoomScaleNormal="100" workbookViewId="0">
      <selection sqref="A1:U3"/>
    </sheetView>
  </sheetViews>
  <sheetFormatPr defaultRowHeight="13.8" x14ac:dyDescent="0.25"/>
  <cols>
    <col min="3" max="3" width="11.796875" customWidth="1"/>
    <col min="5" max="5" width="16.796875" customWidth="1"/>
    <col min="7" max="7" width="11.8984375" customWidth="1"/>
    <col min="9" max="9" width="11.5" customWidth="1"/>
    <col min="10" max="10" width="8.796875" customWidth="1"/>
    <col min="11" max="11" width="18.59765625" customWidth="1"/>
    <col min="13" max="13" width="2.796875" customWidth="1"/>
  </cols>
  <sheetData>
    <row r="1" spans="1:13" ht="13.8" customHeight="1" x14ac:dyDescent="0.25">
      <c r="A1" s="44" t="s">
        <v>648</v>
      </c>
      <c r="B1" s="44"/>
      <c r="C1" s="44"/>
      <c r="D1" s="44"/>
      <c r="E1" s="44"/>
      <c r="F1" s="44"/>
      <c r="G1" s="44"/>
      <c r="H1" s="44"/>
      <c r="I1" s="44"/>
      <c r="J1" s="44"/>
      <c r="K1" s="44"/>
      <c r="L1" s="44"/>
      <c r="M1" s="44"/>
    </row>
    <row r="2" spans="1:13" ht="13.8" customHeight="1" x14ac:dyDescent="0.25">
      <c r="A2" s="44"/>
      <c r="B2" s="44"/>
      <c r="C2" s="44"/>
      <c r="D2" s="44"/>
      <c r="E2" s="44"/>
      <c r="F2" s="44"/>
      <c r="G2" s="44"/>
      <c r="H2" s="44"/>
      <c r="I2" s="44"/>
      <c r="J2" s="44"/>
      <c r="K2" s="44"/>
      <c r="L2" s="44"/>
      <c r="M2" s="44"/>
    </row>
    <row r="3" spans="1:13" ht="14.4" customHeight="1" thickBot="1" x14ac:dyDescent="0.3">
      <c r="A3" s="44"/>
      <c r="B3" s="44"/>
      <c r="C3" s="44"/>
      <c r="D3" s="44"/>
      <c r="E3" s="44"/>
      <c r="F3" s="44"/>
      <c r="G3" s="44"/>
      <c r="H3" s="44"/>
      <c r="I3" s="44"/>
      <c r="J3" s="44"/>
      <c r="K3" s="44"/>
      <c r="L3" s="44"/>
      <c r="M3" s="44"/>
    </row>
    <row r="4" spans="1:13" x14ac:dyDescent="0.25">
      <c r="A4" s="7"/>
      <c r="B4" s="7"/>
      <c r="C4" s="8" t="s">
        <v>652</v>
      </c>
      <c r="D4" s="9"/>
      <c r="E4" s="8" t="s">
        <v>649</v>
      </c>
      <c r="F4" s="9"/>
      <c r="G4" s="8" t="s">
        <v>650</v>
      </c>
      <c r="H4" s="9"/>
      <c r="I4" s="8" t="s">
        <v>651</v>
      </c>
      <c r="J4" s="12"/>
      <c r="K4" s="8" t="s">
        <v>653</v>
      </c>
      <c r="L4" s="12"/>
      <c r="M4" s="12"/>
    </row>
    <row r="5" spans="1:13" ht="14.4" thickBot="1" x14ac:dyDescent="0.3">
      <c r="A5" s="7"/>
      <c r="B5" s="7"/>
      <c r="C5" s="10">
        <f>COUNTA(CleanData[Employee_ID])</f>
        <v>600</v>
      </c>
      <c r="D5" s="9"/>
      <c r="E5" s="11">
        <f>AVERAGE(CleanData[Monthly_Salary])</f>
        <v>7538.6</v>
      </c>
      <c r="F5" s="9"/>
      <c r="G5" s="10">
        <f>MAX(CleanData[Monthly_Salary])</f>
        <v>12050</v>
      </c>
      <c r="H5" s="9"/>
      <c r="I5" s="10">
        <f>MIN(CleanData[Monthly_Salary])</f>
        <v>3820</v>
      </c>
      <c r="J5" s="12"/>
      <c r="K5" s="10" t="s">
        <v>639</v>
      </c>
      <c r="L5" s="12"/>
      <c r="M5" s="12"/>
    </row>
    <row r="6" spans="1:13" x14ac:dyDescent="0.25">
      <c r="A6" s="13"/>
      <c r="B6" s="13"/>
    </row>
    <row r="7" spans="1:13" x14ac:dyDescent="0.25">
      <c r="A7" s="13"/>
      <c r="B7" s="13"/>
    </row>
    <row r="8" spans="1:13" x14ac:dyDescent="0.25">
      <c r="A8" s="13"/>
      <c r="B8" s="13"/>
    </row>
    <row r="9" spans="1:13" x14ac:dyDescent="0.25">
      <c r="A9" s="13"/>
      <c r="B9" s="13"/>
    </row>
    <row r="10" spans="1:13" x14ac:dyDescent="0.25">
      <c r="A10" s="13"/>
      <c r="B10" s="13"/>
    </row>
    <row r="11" spans="1:13" x14ac:dyDescent="0.25">
      <c r="A11" s="13"/>
      <c r="B11" s="13"/>
    </row>
    <row r="12" spans="1:13" x14ac:dyDescent="0.25">
      <c r="A12" s="13"/>
      <c r="B12" s="13"/>
    </row>
    <row r="13" spans="1:13" x14ac:dyDescent="0.25">
      <c r="A13" s="13"/>
      <c r="B13" s="13"/>
    </row>
    <row r="14" spans="1:13" x14ac:dyDescent="0.25">
      <c r="A14" s="13"/>
      <c r="B14" s="13"/>
    </row>
    <row r="15" spans="1:13" x14ac:dyDescent="0.25">
      <c r="A15" s="13"/>
      <c r="B15" s="13"/>
    </row>
    <row r="16" spans="1:13" x14ac:dyDescent="0.25">
      <c r="A16" s="13"/>
      <c r="B16" s="13"/>
    </row>
    <row r="17" spans="1:2" x14ac:dyDescent="0.25">
      <c r="A17" s="13"/>
      <c r="B17" s="13"/>
    </row>
    <row r="18" spans="1:2" x14ac:dyDescent="0.25">
      <c r="A18" s="13"/>
      <c r="B18" s="13"/>
    </row>
    <row r="19" spans="1:2" x14ac:dyDescent="0.25">
      <c r="A19" s="13"/>
      <c r="B19" s="13"/>
    </row>
    <row r="20" spans="1:2" x14ac:dyDescent="0.25">
      <c r="A20" s="13"/>
      <c r="B20" s="13"/>
    </row>
    <row r="21" spans="1:2" x14ac:dyDescent="0.25">
      <c r="A21" s="13"/>
      <c r="B21" s="13"/>
    </row>
    <row r="22" spans="1:2" x14ac:dyDescent="0.25">
      <c r="A22" s="13"/>
      <c r="B22" s="13"/>
    </row>
    <row r="23" spans="1:2" x14ac:dyDescent="0.25">
      <c r="A23" s="13"/>
      <c r="B23" s="13"/>
    </row>
    <row r="24" spans="1:2" x14ac:dyDescent="0.25">
      <c r="A24" s="13"/>
      <c r="B24" s="13"/>
    </row>
    <row r="25" spans="1:2" x14ac:dyDescent="0.25">
      <c r="A25" s="13"/>
      <c r="B25" s="13"/>
    </row>
    <row r="26" spans="1:2" x14ac:dyDescent="0.25">
      <c r="A26" s="13"/>
      <c r="B26" s="13"/>
    </row>
    <row r="27" spans="1:2" x14ac:dyDescent="0.25">
      <c r="A27" s="13"/>
      <c r="B27" s="13"/>
    </row>
    <row r="28" spans="1:2" x14ac:dyDescent="0.25">
      <c r="A28" s="13"/>
      <c r="B28" s="13"/>
    </row>
    <row r="29" spans="1:2" x14ac:dyDescent="0.25">
      <c r="A29" s="13"/>
      <c r="B29" s="13"/>
    </row>
    <row r="30" spans="1:2" x14ac:dyDescent="0.25">
      <c r="A30" s="13"/>
      <c r="B30" s="13"/>
    </row>
    <row r="31" spans="1:2" x14ac:dyDescent="0.25">
      <c r="A31" s="13"/>
      <c r="B31" s="13"/>
    </row>
    <row r="32" spans="1:2" x14ac:dyDescent="0.25">
      <c r="A32" s="13"/>
      <c r="B32" s="13"/>
    </row>
    <row r="33" spans="1:2" x14ac:dyDescent="0.25">
      <c r="A33" s="13"/>
      <c r="B33" s="13"/>
    </row>
    <row r="34" spans="1:2" x14ac:dyDescent="0.25">
      <c r="A34" s="13"/>
      <c r="B34" s="13"/>
    </row>
    <row r="35" spans="1:2" x14ac:dyDescent="0.25">
      <c r="A35" s="13"/>
      <c r="B35" s="13"/>
    </row>
    <row r="36" spans="1:2" x14ac:dyDescent="0.25">
      <c r="A36" s="13"/>
      <c r="B36" s="13"/>
    </row>
    <row r="37" spans="1:2" x14ac:dyDescent="0.25">
      <c r="A37" s="13"/>
      <c r="B37" s="13"/>
    </row>
    <row r="38" spans="1:2" x14ac:dyDescent="0.25">
      <c r="A38" s="13"/>
      <c r="B38" s="13"/>
    </row>
    <row r="39" spans="1:2" x14ac:dyDescent="0.25">
      <c r="A39" s="13"/>
      <c r="B39" s="13"/>
    </row>
    <row r="40" spans="1:2" x14ac:dyDescent="0.25">
      <c r="A40" s="13"/>
      <c r="B40" s="13"/>
    </row>
    <row r="41" spans="1:2" x14ac:dyDescent="0.25">
      <c r="A41" s="13"/>
      <c r="B41" s="13"/>
    </row>
    <row r="42" spans="1:2" x14ac:dyDescent="0.25">
      <c r="A42" s="13"/>
      <c r="B42" s="13"/>
    </row>
    <row r="43" spans="1:2" x14ac:dyDescent="0.25">
      <c r="A43" s="13"/>
      <c r="B43" s="13"/>
    </row>
    <row r="44" spans="1:2" x14ac:dyDescent="0.25">
      <c r="A44" s="13"/>
      <c r="B44" s="13"/>
    </row>
    <row r="45" spans="1:2" x14ac:dyDescent="0.25">
      <c r="A45" s="13"/>
      <c r="B45" s="13"/>
    </row>
    <row r="46" spans="1:2" x14ac:dyDescent="0.25">
      <c r="A46" s="13"/>
      <c r="B46" s="13"/>
    </row>
    <row r="47" spans="1:2" x14ac:dyDescent="0.25">
      <c r="A47" s="13"/>
      <c r="B47" s="13"/>
    </row>
    <row r="48" spans="1:2" x14ac:dyDescent="0.25">
      <c r="A48" s="13"/>
      <c r="B48" s="13"/>
    </row>
    <row r="49" spans="1:13" x14ac:dyDescent="0.25">
      <c r="A49" s="13"/>
      <c r="B49" s="13"/>
    </row>
    <row r="50" spans="1:13" x14ac:dyDescent="0.25">
      <c r="A50" s="13"/>
      <c r="B50" s="13"/>
    </row>
    <row r="51" spans="1:13" x14ac:dyDescent="0.25">
      <c r="A51" s="13"/>
      <c r="B51" s="13"/>
    </row>
    <row r="52" spans="1:13" x14ac:dyDescent="0.25">
      <c r="A52" s="13"/>
      <c r="B52" s="13"/>
    </row>
    <row r="53" spans="1:13" x14ac:dyDescent="0.25">
      <c r="A53" s="13"/>
      <c r="B53" s="13"/>
      <c r="C53" s="45" t="s">
        <v>654</v>
      </c>
      <c r="D53" s="45"/>
      <c r="E53" s="45"/>
      <c r="F53" s="45"/>
      <c r="G53" s="45"/>
      <c r="H53" s="45"/>
      <c r="I53" s="45"/>
      <c r="J53" s="45"/>
      <c r="K53" s="45"/>
      <c r="L53" s="45"/>
      <c r="M53" s="45"/>
    </row>
    <row r="54" spans="1:13" x14ac:dyDescent="0.25">
      <c r="A54" s="13"/>
      <c r="B54" s="13"/>
      <c r="C54" s="45"/>
      <c r="D54" s="45"/>
      <c r="E54" s="45"/>
      <c r="F54" s="45"/>
      <c r="G54" s="45"/>
      <c r="H54" s="45"/>
      <c r="I54" s="45"/>
      <c r="J54" s="45"/>
      <c r="K54" s="45"/>
      <c r="L54" s="45"/>
      <c r="M54" s="45"/>
    </row>
    <row r="55" spans="1:13" x14ac:dyDescent="0.25">
      <c r="A55" s="13"/>
      <c r="B55" s="13"/>
      <c r="C55" s="45"/>
      <c r="D55" s="45"/>
      <c r="E55" s="45"/>
      <c r="F55" s="45"/>
      <c r="G55" s="45"/>
      <c r="H55" s="45"/>
      <c r="I55" s="45"/>
      <c r="J55" s="45"/>
      <c r="K55" s="45"/>
      <c r="L55" s="45"/>
      <c r="M55" s="45"/>
    </row>
    <row r="56" spans="1:13" ht="13.8" customHeight="1" x14ac:dyDescent="0.25">
      <c r="A56" s="13"/>
      <c r="B56" s="13"/>
      <c r="C56" s="46" t="s">
        <v>655</v>
      </c>
      <c r="D56" s="46"/>
      <c r="E56" s="46"/>
      <c r="F56" s="46"/>
      <c r="G56" s="46"/>
      <c r="H56" s="46"/>
      <c r="I56" s="46"/>
      <c r="J56" s="46"/>
      <c r="K56" s="46"/>
      <c r="L56" s="46"/>
      <c r="M56" s="46"/>
    </row>
    <row r="57" spans="1:13" x14ac:dyDescent="0.25">
      <c r="A57" s="13"/>
      <c r="B57" s="13"/>
      <c r="C57" s="46"/>
      <c r="D57" s="46"/>
      <c r="E57" s="46"/>
      <c r="F57" s="46"/>
      <c r="G57" s="46"/>
      <c r="H57" s="46"/>
      <c r="I57" s="46"/>
      <c r="J57" s="46"/>
      <c r="K57" s="46"/>
      <c r="L57" s="46"/>
      <c r="M57" s="46"/>
    </row>
    <row r="58" spans="1:13" x14ac:dyDescent="0.25">
      <c r="A58" s="13"/>
      <c r="B58" s="13"/>
      <c r="C58" s="46"/>
      <c r="D58" s="46"/>
      <c r="E58" s="46"/>
      <c r="F58" s="46"/>
      <c r="G58" s="46"/>
      <c r="H58" s="46"/>
      <c r="I58" s="46"/>
      <c r="J58" s="46"/>
      <c r="K58" s="46"/>
      <c r="L58" s="46"/>
      <c r="M58" s="46"/>
    </row>
    <row r="59" spans="1:13" x14ac:dyDescent="0.25">
      <c r="A59" s="13"/>
      <c r="B59" s="13"/>
      <c r="C59" s="46"/>
      <c r="D59" s="46"/>
      <c r="E59" s="46"/>
      <c r="F59" s="46"/>
      <c r="G59" s="46"/>
      <c r="H59" s="46"/>
      <c r="I59" s="46"/>
      <c r="J59" s="46"/>
      <c r="K59" s="46"/>
      <c r="L59" s="46"/>
      <c r="M59" s="46"/>
    </row>
    <row r="60" spans="1:13" x14ac:dyDescent="0.25">
      <c r="A60" s="13"/>
      <c r="B60" s="13"/>
      <c r="C60" s="46"/>
      <c r="D60" s="46"/>
      <c r="E60" s="46"/>
      <c r="F60" s="46"/>
      <c r="G60" s="46"/>
      <c r="H60" s="46"/>
      <c r="I60" s="46"/>
      <c r="J60" s="46"/>
      <c r="K60" s="46"/>
      <c r="L60" s="46"/>
      <c r="M60" s="46"/>
    </row>
    <row r="61" spans="1:13" x14ac:dyDescent="0.25">
      <c r="A61" s="13"/>
      <c r="B61" s="13"/>
      <c r="C61" s="46"/>
      <c r="D61" s="46"/>
      <c r="E61" s="46"/>
      <c r="F61" s="46"/>
      <c r="G61" s="46"/>
      <c r="H61" s="46"/>
      <c r="I61" s="46"/>
      <c r="J61" s="46"/>
      <c r="K61" s="46"/>
      <c r="L61" s="46"/>
      <c r="M61" s="46"/>
    </row>
    <row r="62" spans="1:13" x14ac:dyDescent="0.25">
      <c r="A62" s="13"/>
      <c r="B62" s="13"/>
      <c r="C62" s="46"/>
      <c r="D62" s="46"/>
      <c r="E62" s="46"/>
      <c r="F62" s="46"/>
      <c r="G62" s="46"/>
      <c r="H62" s="46"/>
      <c r="I62" s="46"/>
      <c r="J62" s="46"/>
      <c r="K62" s="46"/>
      <c r="L62" s="46"/>
      <c r="M62" s="46"/>
    </row>
    <row r="63" spans="1:13" x14ac:dyDescent="0.25">
      <c r="A63" s="13"/>
      <c r="B63" s="13"/>
      <c r="C63" s="46"/>
      <c r="D63" s="46"/>
      <c r="E63" s="46"/>
      <c r="F63" s="46"/>
      <c r="G63" s="46"/>
      <c r="H63" s="46"/>
      <c r="I63" s="46"/>
      <c r="J63" s="46"/>
      <c r="K63" s="46"/>
      <c r="L63" s="46"/>
      <c r="M63" s="46"/>
    </row>
    <row r="64" spans="1:13" x14ac:dyDescent="0.25">
      <c r="A64" s="13"/>
      <c r="B64" s="13"/>
      <c r="C64" s="46"/>
      <c r="D64" s="46"/>
      <c r="E64" s="46"/>
      <c r="F64" s="46"/>
      <c r="G64" s="46"/>
      <c r="H64" s="46"/>
      <c r="I64" s="46"/>
      <c r="J64" s="46"/>
      <c r="K64" s="46"/>
      <c r="L64" s="46"/>
      <c r="M64" s="46"/>
    </row>
    <row r="65" spans="1:13" x14ac:dyDescent="0.25">
      <c r="A65" s="13"/>
      <c r="B65" s="13"/>
      <c r="C65" s="46"/>
      <c r="D65" s="46"/>
      <c r="E65" s="46"/>
      <c r="F65" s="46"/>
      <c r="G65" s="46"/>
      <c r="H65" s="46"/>
      <c r="I65" s="46"/>
      <c r="J65" s="46"/>
      <c r="K65" s="46"/>
      <c r="L65" s="46"/>
      <c r="M65" s="46"/>
    </row>
    <row r="66" spans="1:13" x14ac:dyDescent="0.25">
      <c r="A66" s="13"/>
      <c r="B66" s="13"/>
      <c r="C66" s="46"/>
      <c r="D66" s="46"/>
      <c r="E66" s="46"/>
      <c r="F66" s="46"/>
      <c r="G66" s="46"/>
      <c r="H66" s="46"/>
      <c r="I66" s="46"/>
      <c r="J66" s="46"/>
      <c r="K66" s="46"/>
      <c r="L66" s="46"/>
      <c r="M66" s="46"/>
    </row>
    <row r="67" spans="1:13" x14ac:dyDescent="0.25">
      <c r="C67" s="46"/>
      <c r="D67" s="46"/>
      <c r="E67" s="46"/>
      <c r="F67" s="46"/>
      <c r="G67" s="46"/>
      <c r="H67" s="46"/>
      <c r="I67" s="46"/>
      <c r="J67" s="46"/>
      <c r="K67" s="46"/>
      <c r="L67" s="46"/>
      <c r="M67" s="46"/>
    </row>
    <row r="68" spans="1:13" x14ac:dyDescent="0.25">
      <c r="C68" s="46"/>
      <c r="D68" s="46"/>
      <c r="E68" s="46"/>
      <c r="F68" s="46"/>
      <c r="G68" s="46"/>
      <c r="H68" s="46"/>
      <c r="I68" s="46"/>
      <c r="J68" s="46"/>
      <c r="K68" s="46"/>
      <c r="L68" s="46"/>
      <c r="M68" s="46"/>
    </row>
    <row r="69" spans="1:13" x14ac:dyDescent="0.25">
      <c r="C69" s="46"/>
      <c r="D69" s="46"/>
      <c r="E69" s="46"/>
      <c r="F69" s="46"/>
      <c r="G69" s="46"/>
      <c r="H69" s="46"/>
      <c r="I69" s="46"/>
      <c r="J69" s="46"/>
      <c r="K69" s="46"/>
      <c r="L69" s="46"/>
      <c r="M69" s="46"/>
    </row>
  </sheetData>
  <mergeCells count="3">
    <mergeCell ref="A1:M3"/>
    <mergeCell ref="C53:M55"/>
    <mergeCell ref="C56:M6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1"/>
  <sheetViews>
    <sheetView topLeftCell="A2" workbookViewId="0">
      <selection activeCell="G23" sqref="G23"/>
    </sheetView>
  </sheetViews>
  <sheetFormatPr defaultRowHeight="13.8" x14ac:dyDescent="0.25"/>
  <cols>
    <col min="1" max="1" width="17.09765625" customWidth="1"/>
    <col min="2" max="2" width="13.3984375" customWidth="1"/>
    <col min="3" max="3" width="14.09765625" customWidth="1"/>
    <col min="4" max="4" width="11.59765625" customWidth="1"/>
    <col min="6" max="6" width="12.19921875" customWidth="1"/>
    <col min="7" max="7" width="20" customWidth="1"/>
    <col min="8" max="8" width="21.796875" customWidth="1"/>
    <col min="9" max="9" width="20.796875" customWidth="1"/>
    <col min="10" max="10" width="24.3984375" customWidth="1"/>
    <col min="11" max="11" width="19.5" customWidth="1"/>
    <col min="12" max="12" width="17"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1" t="s">
        <v>29</v>
      </c>
      <c r="B2" s="1" t="s">
        <v>615</v>
      </c>
      <c r="C2" s="1" t="s">
        <v>629</v>
      </c>
      <c r="D2" s="1" t="s">
        <v>637</v>
      </c>
      <c r="E2" s="1">
        <v>51</v>
      </c>
      <c r="F2" s="1" t="s">
        <v>640</v>
      </c>
      <c r="G2" s="1">
        <v>15</v>
      </c>
      <c r="H2" s="1">
        <v>30</v>
      </c>
      <c r="I2" s="1">
        <v>11530</v>
      </c>
      <c r="J2" s="1">
        <v>3</v>
      </c>
      <c r="K2" s="1">
        <v>2</v>
      </c>
      <c r="L2" s="1">
        <v>28</v>
      </c>
    </row>
    <row r="3" spans="1:12" x14ac:dyDescent="0.25">
      <c r="A3" s="1" t="s">
        <v>508</v>
      </c>
      <c r="B3" s="1" t="s">
        <v>615</v>
      </c>
      <c r="C3" s="1" t="s">
        <v>629</v>
      </c>
      <c r="D3" s="1" t="s">
        <v>638</v>
      </c>
      <c r="E3" s="1">
        <v>56</v>
      </c>
      <c r="F3" s="1" t="s">
        <v>639</v>
      </c>
      <c r="G3" s="1">
        <v>15</v>
      </c>
      <c r="H3" s="1">
        <v>33</v>
      </c>
      <c r="I3" s="1">
        <v>11120</v>
      </c>
      <c r="J3" s="1">
        <v>4</v>
      </c>
      <c r="K3" s="1">
        <v>3</v>
      </c>
      <c r="L3" s="1">
        <v>4</v>
      </c>
    </row>
    <row r="4" spans="1:12" x14ac:dyDescent="0.25">
      <c r="A4" s="1" t="s">
        <v>477</v>
      </c>
      <c r="B4" s="1" t="s">
        <v>614</v>
      </c>
      <c r="C4" s="1" t="s">
        <v>632</v>
      </c>
      <c r="D4" s="1" t="s">
        <v>637</v>
      </c>
      <c r="E4" s="1">
        <v>56</v>
      </c>
      <c r="F4" s="1" t="s">
        <v>639</v>
      </c>
      <c r="G4" s="1">
        <v>15</v>
      </c>
      <c r="H4" s="1">
        <v>34</v>
      </c>
      <c r="I4" s="1">
        <v>11070</v>
      </c>
      <c r="J4" s="1">
        <v>4</v>
      </c>
      <c r="K4" s="1">
        <v>2</v>
      </c>
      <c r="L4" s="1">
        <v>17</v>
      </c>
    </row>
    <row r="5" spans="1:12" x14ac:dyDescent="0.25">
      <c r="A5" s="1" t="s">
        <v>182</v>
      </c>
      <c r="B5" s="1" t="s">
        <v>615</v>
      </c>
      <c r="C5" s="1" t="s">
        <v>629</v>
      </c>
      <c r="D5" s="1" t="s">
        <v>637</v>
      </c>
      <c r="E5" s="1">
        <v>57</v>
      </c>
      <c r="F5" s="1" t="s">
        <v>639</v>
      </c>
      <c r="G5" s="1">
        <v>15</v>
      </c>
      <c r="H5" s="1">
        <v>37</v>
      </c>
      <c r="I5" s="1">
        <v>11030</v>
      </c>
      <c r="J5" s="1">
        <v>4</v>
      </c>
      <c r="K5" s="1">
        <v>4</v>
      </c>
      <c r="L5" s="1">
        <v>0</v>
      </c>
    </row>
    <row r="6" spans="1:12" x14ac:dyDescent="0.25">
      <c r="A6" s="1" t="s">
        <v>232</v>
      </c>
      <c r="B6" s="1" t="s">
        <v>616</v>
      </c>
      <c r="C6" s="1" t="s">
        <v>635</v>
      </c>
      <c r="D6" s="1" t="s">
        <v>637</v>
      </c>
      <c r="E6" s="1">
        <v>50</v>
      </c>
      <c r="F6" s="1" t="s">
        <v>640</v>
      </c>
      <c r="G6" s="1">
        <v>15</v>
      </c>
      <c r="H6" s="1">
        <v>28</v>
      </c>
      <c r="I6" s="1">
        <v>10860</v>
      </c>
      <c r="J6" s="1">
        <v>3</v>
      </c>
      <c r="K6" s="1">
        <v>3</v>
      </c>
      <c r="L6" s="1">
        <v>16</v>
      </c>
    </row>
    <row r="7" spans="1:12" x14ac:dyDescent="0.25">
      <c r="A7" s="1" t="s">
        <v>93</v>
      </c>
      <c r="B7" s="1" t="s">
        <v>612</v>
      </c>
      <c r="C7" s="1" t="s">
        <v>630</v>
      </c>
      <c r="D7" s="1" t="s">
        <v>638</v>
      </c>
      <c r="E7" s="1">
        <v>60</v>
      </c>
      <c r="F7" s="1" t="s">
        <v>642</v>
      </c>
      <c r="G7" s="1">
        <v>15</v>
      </c>
      <c r="H7" s="1">
        <v>38</v>
      </c>
      <c r="I7" s="1">
        <v>10840</v>
      </c>
      <c r="J7" s="1">
        <v>5</v>
      </c>
      <c r="K7" s="1">
        <v>3</v>
      </c>
      <c r="L7" s="1">
        <v>15</v>
      </c>
    </row>
    <row r="8" spans="1:12" x14ac:dyDescent="0.25">
      <c r="A8" s="1" t="s">
        <v>50</v>
      </c>
      <c r="B8" s="1" t="s">
        <v>612</v>
      </c>
      <c r="C8" s="1" t="s">
        <v>619</v>
      </c>
      <c r="D8" s="1" t="s">
        <v>638</v>
      </c>
      <c r="E8" s="1">
        <v>59</v>
      </c>
      <c r="F8" s="1" t="s">
        <v>640</v>
      </c>
      <c r="G8" s="1">
        <v>15</v>
      </c>
      <c r="H8" s="1">
        <v>35</v>
      </c>
      <c r="I8" s="1">
        <v>10480</v>
      </c>
      <c r="J8" s="1">
        <v>4</v>
      </c>
      <c r="K8" s="1">
        <v>2</v>
      </c>
      <c r="L8" s="1">
        <v>7</v>
      </c>
    </row>
    <row r="9" spans="1:12" x14ac:dyDescent="0.25">
      <c r="A9" s="1" t="s">
        <v>205</v>
      </c>
      <c r="B9" s="1" t="s">
        <v>613</v>
      </c>
      <c r="C9" s="1" t="s">
        <v>623</v>
      </c>
      <c r="D9" s="1" t="s">
        <v>637</v>
      </c>
      <c r="E9" s="1">
        <v>59</v>
      </c>
      <c r="F9" s="1" t="s">
        <v>639</v>
      </c>
      <c r="G9" s="1">
        <v>15</v>
      </c>
      <c r="H9" s="1">
        <v>30</v>
      </c>
      <c r="I9" s="1">
        <v>10430</v>
      </c>
      <c r="J9" s="1">
        <v>3</v>
      </c>
      <c r="K9" s="1">
        <v>4</v>
      </c>
      <c r="L9" s="1">
        <v>10</v>
      </c>
    </row>
    <row r="10" spans="1:12" x14ac:dyDescent="0.25">
      <c r="A10" s="1" t="s">
        <v>429</v>
      </c>
      <c r="B10" s="1" t="s">
        <v>613</v>
      </c>
      <c r="C10" s="1" t="s">
        <v>623</v>
      </c>
      <c r="D10" s="1" t="s">
        <v>638</v>
      </c>
      <c r="E10" s="1">
        <v>50</v>
      </c>
      <c r="F10" s="1" t="s">
        <v>642</v>
      </c>
      <c r="G10" s="1">
        <v>15</v>
      </c>
      <c r="H10" s="1">
        <v>30</v>
      </c>
      <c r="I10" s="1">
        <v>10400</v>
      </c>
      <c r="J10" s="1">
        <v>1</v>
      </c>
      <c r="K10" s="1">
        <v>4</v>
      </c>
      <c r="L10" s="1">
        <v>10</v>
      </c>
    </row>
    <row r="11" spans="1:12" x14ac:dyDescent="0.25">
      <c r="A11" s="1" t="s">
        <v>102</v>
      </c>
      <c r="B11" s="1" t="s">
        <v>615</v>
      </c>
      <c r="C11" s="1" t="s">
        <v>629</v>
      </c>
      <c r="D11" s="1" t="s">
        <v>637</v>
      </c>
      <c r="E11" s="1">
        <v>57</v>
      </c>
      <c r="F11" s="1" t="s">
        <v>642</v>
      </c>
      <c r="G11" s="1">
        <v>15</v>
      </c>
      <c r="H11" s="1">
        <v>31</v>
      </c>
      <c r="I11" s="1">
        <v>10150</v>
      </c>
      <c r="J11" s="1">
        <v>3</v>
      </c>
      <c r="K11" s="1">
        <v>4</v>
      </c>
      <c r="L11" s="1">
        <v>14</v>
      </c>
    </row>
    <row r="12" spans="1:12" x14ac:dyDescent="0.25">
      <c r="A12" s="1" t="s">
        <v>587</v>
      </c>
      <c r="B12" s="1" t="s">
        <v>616</v>
      </c>
      <c r="C12" s="1" t="s">
        <v>636</v>
      </c>
      <c r="D12" s="1" t="s">
        <v>637</v>
      </c>
      <c r="E12" s="1">
        <v>53</v>
      </c>
      <c r="F12" s="1" t="s">
        <v>639</v>
      </c>
      <c r="G12" s="1">
        <v>15</v>
      </c>
      <c r="H12" s="1">
        <v>26</v>
      </c>
      <c r="I12" s="1">
        <v>10030</v>
      </c>
      <c r="J12" s="1">
        <v>4</v>
      </c>
      <c r="K12" s="1">
        <v>3</v>
      </c>
      <c r="L12" s="1">
        <v>1</v>
      </c>
    </row>
    <row r="13" spans="1:12" x14ac:dyDescent="0.25">
      <c r="A13" s="1" t="s">
        <v>496</v>
      </c>
      <c r="B13" s="1" t="s">
        <v>615</v>
      </c>
      <c r="C13" s="1" t="s">
        <v>625</v>
      </c>
      <c r="D13" s="1" t="s">
        <v>638</v>
      </c>
      <c r="E13" s="1">
        <v>46</v>
      </c>
      <c r="F13" s="1" t="s">
        <v>639</v>
      </c>
      <c r="G13" s="1">
        <v>15</v>
      </c>
      <c r="H13" s="1">
        <v>25</v>
      </c>
      <c r="I13" s="1">
        <v>9950</v>
      </c>
      <c r="J13" s="1">
        <v>3</v>
      </c>
      <c r="K13" s="1">
        <v>4</v>
      </c>
      <c r="L13" s="1">
        <v>8</v>
      </c>
    </row>
    <row r="14" spans="1:12" x14ac:dyDescent="0.25">
      <c r="A14" s="1" t="s">
        <v>198</v>
      </c>
      <c r="B14" s="1" t="s">
        <v>613</v>
      </c>
      <c r="C14" s="1" t="s">
        <v>623</v>
      </c>
      <c r="D14" s="1" t="s">
        <v>638</v>
      </c>
      <c r="E14" s="1">
        <v>47</v>
      </c>
      <c r="F14" s="1" t="s">
        <v>640</v>
      </c>
      <c r="G14" s="1">
        <v>15</v>
      </c>
      <c r="H14" s="1">
        <v>24</v>
      </c>
      <c r="I14" s="1">
        <v>9520</v>
      </c>
      <c r="J14" s="1">
        <v>4</v>
      </c>
      <c r="K14" s="1">
        <v>1</v>
      </c>
      <c r="L14" s="1">
        <v>10</v>
      </c>
    </row>
    <row r="15" spans="1:12" x14ac:dyDescent="0.25">
      <c r="A15" s="1" t="s">
        <v>203</v>
      </c>
      <c r="B15" s="1" t="s">
        <v>613</v>
      </c>
      <c r="C15" s="1" t="s">
        <v>631</v>
      </c>
      <c r="D15" s="1" t="s">
        <v>638</v>
      </c>
      <c r="E15" s="1">
        <v>51</v>
      </c>
      <c r="F15" s="1" t="s">
        <v>639</v>
      </c>
      <c r="G15" s="1">
        <v>15</v>
      </c>
      <c r="H15" s="1">
        <v>28</v>
      </c>
      <c r="I15" s="1">
        <v>9510</v>
      </c>
      <c r="J15" s="1">
        <v>3</v>
      </c>
      <c r="K15" s="1">
        <v>3</v>
      </c>
      <c r="L15" s="1">
        <v>6</v>
      </c>
    </row>
    <row r="16" spans="1:12" x14ac:dyDescent="0.25">
      <c r="A16" s="1" t="s">
        <v>132</v>
      </c>
      <c r="B16" s="1" t="s">
        <v>614</v>
      </c>
      <c r="C16" s="1" t="s">
        <v>633</v>
      </c>
      <c r="D16" s="1" t="s">
        <v>638</v>
      </c>
      <c r="E16" s="1">
        <v>44</v>
      </c>
      <c r="F16" s="1" t="s">
        <v>639</v>
      </c>
      <c r="G16" s="1">
        <v>15</v>
      </c>
      <c r="H16" s="1">
        <v>24</v>
      </c>
      <c r="I16" s="1">
        <v>9480</v>
      </c>
      <c r="J16" s="1">
        <v>2</v>
      </c>
      <c r="K16" s="1">
        <v>2</v>
      </c>
      <c r="L16" s="1">
        <v>7</v>
      </c>
    </row>
    <row r="17" spans="1:12" x14ac:dyDescent="0.25">
      <c r="A17" s="1" t="s">
        <v>154</v>
      </c>
      <c r="B17" s="1" t="s">
        <v>615</v>
      </c>
      <c r="C17" s="1" t="s">
        <v>622</v>
      </c>
      <c r="D17" s="1" t="s">
        <v>638</v>
      </c>
      <c r="E17" s="1">
        <v>48</v>
      </c>
      <c r="F17" s="1" t="s">
        <v>642</v>
      </c>
      <c r="G17" s="1">
        <v>15</v>
      </c>
      <c r="H17" s="1">
        <v>26</v>
      </c>
      <c r="I17" s="1">
        <v>9180</v>
      </c>
      <c r="J17" s="1">
        <v>4</v>
      </c>
      <c r="K17" s="1">
        <v>4</v>
      </c>
      <c r="L17" s="1">
        <v>12</v>
      </c>
    </row>
    <row r="18" spans="1:12" x14ac:dyDescent="0.25">
      <c r="A18" s="1" t="s">
        <v>249</v>
      </c>
      <c r="B18" s="1" t="s">
        <v>617</v>
      </c>
      <c r="C18" s="1" t="s">
        <v>627</v>
      </c>
      <c r="D18" s="1" t="s">
        <v>638</v>
      </c>
      <c r="E18" s="1">
        <v>58</v>
      </c>
      <c r="F18" s="1" t="s">
        <v>639</v>
      </c>
      <c r="G18" s="1">
        <v>15</v>
      </c>
      <c r="H18" s="1">
        <v>33</v>
      </c>
      <c r="I18" s="1">
        <v>9170</v>
      </c>
      <c r="J18" s="1">
        <v>4</v>
      </c>
      <c r="K18" s="1">
        <v>2</v>
      </c>
      <c r="L18" s="1">
        <v>12</v>
      </c>
    </row>
    <row r="19" spans="1:12" x14ac:dyDescent="0.25">
      <c r="A19" s="1" t="s">
        <v>529</v>
      </c>
      <c r="B19" s="1" t="s">
        <v>615</v>
      </c>
      <c r="C19" s="1" t="s">
        <v>629</v>
      </c>
      <c r="D19" s="1" t="s">
        <v>637</v>
      </c>
      <c r="E19" s="1">
        <v>40</v>
      </c>
      <c r="F19" s="1" t="s">
        <v>639</v>
      </c>
      <c r="G19" s="1">
        <v>15</v>
      </c>
      <c r="H19" s="1">
        <v>15</v>
      </c>
      <c r="I19" s="1">
        <v>9070</v>
      </c>
      <c r="J19" s="1">
        <v>4</v>
      </c>
      <c r="K19" s="1">
        <v>3</v>
      </c>
      <c r="L19" s="1">
        <v>0</v>
      </c>
    </row>
    <row r="20" spans="1:12" x14ac:dyDescent="0.25">
      <c r="A20" s="1" t="s">
        <v>165</v>
      </c>
      <c r="B20" s="1" t="s">
        <v>614</v>
      </c>
      <c r="C20" s="1" t="s">
        <v>626</v>
      </c>
      <c r="D20" s="1" t="s">
        <v>638</v>
      </c>
      <c r="E20" s="1">
        <v>41</v>
      </c>
      <c r="F20" s="1" t="s">
        <v>639</v>
      </c>
      <c r="G20" s="1">
        <v>15</v>
      </c>
      <c r="H20" s="1">
        <v>24</v>
      </c>
      <c r="I20" s="1">
        <v>8840</v>
      </c>
      <c r="J20" s="1">
        <v>4</v>
      </c>
      <c r="K20" s="1">
        <v>3</v>
      </c>
      <c r="L20" s="1">
        <v>5</v>
      </c>
    </row>
    <row r="21" spans="1:12" x14ac:dyDescent="0.25">
      <c r="A21" s="1" t="s">
        <v>445</v>
      </c>
      <c r="B21" s="1" t="s">
        <v>613</v>
      </c>
      <c r="C21" s="1" t="s">
        <v>620</v>
      </c>
      <c r="D21" s="1" t="s">
        <v>637</v>
      </c>
      <c r="E21" s="1">
        <v>48</v>
      </c>
      <c r="F21" s="1" t="s">
        <v>639</v>
      </c>
      <c r="G21" s="1">
        <v>15</v>
      </c>
      <c r="H21" s="1">
        <v>26</v>
      </c>
      <c r="I21" s="1">
        <v>8430</v>
      </c>
      <c r="J21" s="1">
        <v>3</v>
      </c>
      <c r="K21" s="1">
        <v>2</v>
      </c>
      <c r="L21" s="1">
        <v>10</v>
      </c>
    </row>
    <row r="22" spans="1:12" x14ac:dyDescent="0.25">
      <c r="A22" s="1" t="s">
        <v>247</v>
      </c>
      <c r="B22" s="1" t="s">
        <v>617</v>
      </c>
      <c r="C22" s="1" t="s">
        <v>628</v>
      </c>
      <c r="D22" s="1" t="s">
        <v>637</v>
      </c>
      <c r="E22" s="1">
        <v>43</v>
      </c>
      <c r="F22" s="1" t="s">
        <v>642</v>
      </c>
      <c r="G22" s="1">
        <v>15</v>
      </c>
      <c r="H22" s="1">
        <v>16</v>
      </c>
      <c r="I22" s="1">
        <v>8370</v>
      </c>
      <c r="J22" s="1">
        <v>3</v>
      </c>
      <c r="K22" s="1">
        <v>3</v>
      </c>
      <c r="L22" s="1">
        <v>9</v>
      </c>
    </row>
    <row r="23" spans="1:12" x14ac:dyDescent="0.25">
      <c r="A23" s="1" t="s">
        <v>469</v>
      </c>
      <c r="B23" s="1" t="s">
        <v>617</v>
      </c>
      <c r="C23" s="1" t="s">
        <v>628</v>
      </c>
      <c r="D23" s="1" t="s">
        <v>638</v>
      </c>
      <c r="E23" s="1">
        <v>37</v>
      </c>
      <c r="F23" s="1" t="s">
        <v>640</v>
      </c>
      <c r="G23" s="1">
        <v>15</v>
      </c>
      <c r="H23" s="1">
        <v>17</v>
      </c>
      <c r="I23" s="1">
        <v>8320</v>
      </c>
      <c r="J23" s="1">
        <v>4</v>
      </c>
      <c r="K23" s="1">
        <v>4</v>
      </c>
      <c r="L23" s="1">
        <v>12</v>
      </c>
    </row>
    <row r="24" spans="1:12" x14ac:dyDescent="0.25">
      <c r="A24" s="1" t="s">
        <v>439</v>
      </c>
      <c r="B24" s="1" t="s">
        <v>614</v>
      </c>
      <c r="C24" s="1" t="s">
        <v>626</v>
      </c>
      <c r="D24" s="1" t="s">
        <v>637</v>
      </c>
      <c r="E24" s="1">
        <v>41</v>
      </c>
      <c r="F24" s="1" t="s">
        <v>640</v>
      </c>
      <c r="G24" s="1">
        <v>15</v>
      </c>
      <c r="H24" s="1">
        <v>15</v>
      </c>
      <c r="I24" s="1">
        <v>8050</v>
      </c>
      <c r="J24" s="1">
        <v>1</v>
      </c>
      <c r="K24" s="1">
        <v>3</v>
      </c>
      <c r="L24" s="1">
        <v>2</v>
      </c>
    </row>
    <row r="25" spans="1:12" x14ac:dyDescent="0.25">
      <c r="A25" s="1" t="s">
        <v>109</v>
      </c>
      <c r="B25" s="1" t="s">
        <v>616</v>
      </c>
      <c r="C25" s="1" t="s">
        <v>624</v>
      </c>
      <c r="D25" s="1" t="s">
        <v>638</v>
      </c>
      <c r="E25" s="1">
        <v>43</v>
      </c>
      <c r="F25" s="1" t="s">
        <v>640</v>
      </c>
      <c r="G25" s="1">
        <v>15</v>
      </c>
      <c r="H25" s="1">
        <v>22</v>
      </c>
      <c r="I25" s="1">
        <v>8030</v>
      </c>
      <c r="J25" s="1">
        <v>3</v>
      </c>
      <c r="K25" s="1">
        <v>5</v>
      </c>
      <c r="L25" s="1">
        <v>0</v>
      </c>
    </row>
    <row r="26" spans="1:12" x14ac:dyDescent="0.25">
      <c r="A26" s="1" t="s">
        <v>360</v>
      </c>
      <c r="B26" s="1" t="s">
        <v>617</v>
      </c>
      <c r="C26" s="1" t="s">
        <v>634</v>
      </c>
      <c r="D26" s="1" t="s">
        <v>637</v>
      </c>
      <c r="E26" s="1">
        <v>58</v>
      </c>
      <c r="F26" s="1" t="s">
        <v>639</v>
      </c>
      <c r="G26" s="1">
        <v>15</v>
      </c>
      <c r="H26" s="1">
        <v>30</v>
      </c>
      <c r="I26" s="1">
        <v>8000</v>
      </c>
      <c r="J26" s="1">
        <v>4</v>
      </c>
      <c r="K26" s="1">
        <v>3</v>
      </c>
      <c r="L26" s="1">
        <v>7</v>
      </c>
    </row>
    <row r="27" spans="1:12" x14ac:dyDescent="0.25">
      <c r="A27" s="1" t="s">
        <v>494</v>
      </c>
      <c r="B27" s="1" t="s">
        <v>615</v>
      </c>
      <c r="C27" s="1" t="s">
        <v>625</v>
      </c>
      <c r="D27" s="1" t="s">
        <v>637</v>
      </c>
      <c r="E27" s="1">
        <v>37</v>
      </c>
      <c r="F27" s="1" t="s">
        <v>639</v>
      </c>
      <c r="G27" s="1">
        <v>15</v>
      </c>
      <c r="H27" s="1">
        <v>15</v>
      </c>
      <c r="I27" s="1">
        <v>7850</v>
      </c>
      <c r="J27" s="1">
        <v>5</v>
      </c>
      <c r="K27" s="1">
        <v>2</v>
      </c>
      <c r="L27" s="1">
        <v>13</v>
      </c>
    </row>
    <row r="28" spans="1:12" x14ac:dyDescent="0.25">
      <c r="A28" s="1" t="s">
        <v>273</v>
      </c>
      <c r="B28" s="1" t="s">
        <v>617</v>
      </c>
      <c r="C28" s="1" t="s">
        <v>627</v>
      </c>
      <c r="D28" s="1" t="s">
        <v>638</v>
      </c>
      <c r="E28" s="1">
        <v>37</v>
      </c>
      <c r="F28" s="1" t="s">
        <v>639</v>
      </c>
      <c r="G28" s="1">
        <v>15</v>
      </c>
      <c r="H28" s="1">
        <v>16</v>
      </c>
      <c r="I28" s="1">
        <v>7270</v>
      </c>
      <c r="J28" s="1">
        <v>2</v>
      </c>
      <c r="K28" s="1">
        <v>4</v>
      </c>
      <c r="L28" s="1">
        <v>18</v>
      </c>
    </row>
    <row r="29" spans="1:12" x14ac:dyDescent="0.25">
      <c r="A29" s="1" t="s">
        <v>404</v>
      </c>
      <c r="B29" s="1" t="s">
        <v>615</v>
      </c>
      <c r="C29" s="1" t="s">
        <v>629</v>
      </c>
      <c r="D29" s="1" t="s">
        <v>637</v>
      </c>
      <c r="E29" s="1">
        <v>57</v>
      </c>
      <c r="F29" s="1" t="s">
        <v>639</v>
      </c>
      <c r="G29" s="1">
        <v>14</v>
      </c>
      <c r="H29" s="1">
        <v>36</v>
      </c>
      <c r="I29" s="1">
        <v>11550</v>
      </c>
      <c r="J29" s="1">
        <v>4</v>
      </c>
      <c r="K29" s="1">
        <v>4</v>
      </c>
      <c r="L29" s="1">
        <v>2</v>
      </c>
    </row>
    <row r="30" spans="1:12" x14ac:dyDescent="0.25">
      <c r="A30" s="1" t="s">
        <v>225</v>
      </c>
      <c r="B30" s="1" t="s">
        <v>615</v>
      </c>
      <c r="C30" s="1" t="s">
        <v>629</v>
      </c>
      <c r="D30" s="1" t="s">
        <v>638</v>
      </c>
      <c r="E30" s="1">
        <v>60</v>
      </c>
      <c r="F30" s="1" t="s">
        <v>639</v>
      </c>
      <c r="G30" s="1">
        <v>14</v>
      </c>
      <c r="H30" s="1">
        <v>34</v>
      </c>
      <c r="I30" s="1">
        <v>11000</v>
      </c>
      <c r="J30" s="1">
        <v>4</v>
      </c>
      <c r="K30" s="1">
        <v>3</v>
      </c>
      <c r="L30" s="1">
        <v>14</v>
      </c>
    </row>
    <row r="31" spans="1:12" x14ac:dyDescent="0.25">
      <c r="A31" s="1" t="s">
        <v>135</v>
      </c>
      <c r="B31" s="1" t="s">
        <v>616</v>
      </c>
      <c r="C31" s="1" t="s">
        <v>635</v>
      </c>
      <c r="D31" s="1" t="s">
        <v>637</v>
      </c>
      <c r="E31" s="1">
        <v>50</v>
      </c>
      <c r="F31" s="1" t="s">
        <v>639</v>
      </c>
      <c r="G31" s="1">
        <v>14</v>
      </c>
      <c r="H31" s="1">
        <v>32</v>
      </c>
      <c r="I31" s="1">
        <v>10790</v>
      </c>
      <c r="J31" s="1">
        <v>4</v>
      </c>
      <c r="K31" s="1">
        <v>4</v>
      </c>
      <c r="L31" s="1">
        <v>2</v>
      </c>
    </row>
    <row r="32" spans="1:12" x14ac:dyDescent="0.25">
      <c r="A32" s="1" t="s">
        <v>579</v>
      </c>
      <c r="B32" s="1" t="s">
        <v>613</v>
      </c>
      <c r="C32" s="1" t="s">
        <v>623</v>
      </c>
      <c r="D32" s="1" t="s">
        <v>637</v>
      </c>
      <c r="E32" s="1">
        <v>58</v>
      </c>
      <c r="F32" s="1" t="s">
        <v>639</v>
      </c>
      <c r="G32" s="1">
        <v>14</v>
      </c>
      <c r="H32" s="1">
        <v>36</v>
      </c>
      <c r="I32" s="1">
        <v>10740</v>
      </c>
      <c r="J32" s="1">
        <v>4</v>
      </c>
      <c r="K32" s="1">
        <v>3</v>
      </c>
      <c r="L32" s="1">
        <v>5</v>
      </c>
    </row>
    <row r="33" spans="1:12" x14ac:dyDescent="0.25">
      <c r="A33" s="1" t="s">
        <v>482</v>
      </c>
      <c r="B33" s="1" t="s">
        <v>615</v>
      </c>
      <c r="C33" s="1" t="s">
        <v>625</v>
      </c>
      <c r="D33" s="1" t="s">
        <v>638</v>
      </c>
      <c r="E33" s="1">
        <v>58</v>
      </c>
      <c r="F33" s="1" t="s">
        <v>640</v>
      </c>
      <c r="G33" s="1">
        <v>14</v>
      </c>
      <c r="H33" s="1">
        <v>30</v>
      </c>
      <c r="I33" s="1">
        <v>10220</v>
      </c>
      <c r="J33" s="1">
        <v>2</v>
      </c>
      <c r="K33" s="1">
        <v>2</v>
      </c>
      <c r="L33" s="1">
        <v>4</v>
      </c>
    </row>
    <row r="34" spans="1:12" x14ac:dyDescent="0.25">
      <c r="A34" s="1" t="s">
        <v>476</v>
      </c>
      <c r="B34" s="1" t="s">
        <v>616</v>
      </c>
      <c r="C34" s="1" t="s">
        <v>635</v>
      </c>
      <c r="D34" s="1" t="s">
        <v>637</v>
      </c>
      <c r="E34" s="1">
        <v>53</v>
      </c>
      <c r="F34" s="1" t="s">
        <v>639</v>
      </c>
      <c r="G34" s="1">
        <v>14</v>
      </c>
      <c r="H34" s="1">
        <v>30</v>
      </c>
      <c r="I34" s="1">
        <v>10080</v>
      </c>
      <c r="J34" s="1">
        <v>3</v>
      </c>
      <c r="K34" s="1">
        <v>3</v>
      </c>
      <c r="L34" s="1">
        <v>3</v>
      </c>
    </row>
    <row r="35" spans="1:12" x14ac:dyDescent="0.25">
      <c r="A35" s="1" t="s">
        <v>284</v>
      </c>
      <c r="B35" s="1" t="s">
        <v>612</v>
      </c>
      <c r="C35" s="1" t="s">
        <v>630</v>
      </c>
      <c r="D35" s="1" t="s">
        <v>637</v>
      </c>
      <c r="E35" s="1">
        <v>51</v>
      </c>
      <c r="F35" s="1" t="s">
        <v>640</v>
      </c>
      <c r="G35" s="1">
        <v>14</v>
      </c>
      <c r="H35" s="1">
        <v>29</v>
      </c>
      <c r="I35" s="1">
        <v>10020</v>
      </c>
      <c r="J35" s="1">
        <v>5</v>
      </c>
      <c r="K35" s="1">
        <v>4</v>
      </c>
      <c r="L35" s="1">
        <v>0</v>
      </c>
    </row>
    <row r="36" spans="1:12" x14ac:dyDescent="0.25">
      <c r="A36" s="1" t="s">
        <v>254</v>
      </c>
      <c r="B36" s="1" t="s">
        <v>612</v>
      </c>
      <c r="C36" s="1" t="s">
        <v>630</v>
      </c>
      <c r="D36" s="1" t="s">
        <v>637</v>
      </c>
      <c r="E36" s="1">
        <v>44</v>
      </c>
      <c r="F36" s="1" t="s">
        <v>640</v>
      </c>
      <c r="G36" s="1">
        <v>14</v>
      </c>
      <c r="H36" s="1">
        <v>24</v>
      </c>
      <c r="I36" s="1">
        <v>9920</v>
      </c>
      <c r="J36" s="1">
        <v>4</v>
      </c>
      <c r="K36" s="1">
        <v>3</v>
      </c>
      <c r="L36" s="1">
        <v>5</v>
      </c>
    </row>
    <row r="37" spans="1:12" x14ac:dyDescent="0.25">
      <c r="A37" s="1" t="s">
        <v>257</v>
      </c>
      <c r="B37" s="1" t="s">
        <v>613</v>
      </c>
      <c r="C37" s="1" t="s">
        <v>631</v>
      </c>
      <c r="D37" s="1" t="s">
        <v>638</v>
      </c>
      <c r="E37" s="1">
        <v>39</v>
      </c>
      <c r="F37" s="1" t="s">
        <v>639</v>
      </c>
      <c r="G37" s="1">
        <v>14</v>
      </c>
      <c r="H37" s="1">
        <v>19</v>
      </c>
      <c r="I37" s="1">
        <v>9880</v>
      </c>
      <c r="J37" s="1">
        <v>3</v>
      </c>
      <c r="K37" s="1">
        <v>3</v>
      </c>
      <c r="L37" s="1">
        <v>1</v>
      </c>
    </row>
    <row r="38" spans="1:12" x14ac:dyDescent="0.25">
      <c r="A38" s="1" t="s">
        <v>229</v>
      </c>
      <c r="B38" s="1" t="s">
        <v>614</v>
      </c>
      <c r="C38" s="1" t="s">
        <v>632</v>
      </c>
      <c r="D38" s="1" t="s">
        <v>637</v>
      </c>
      <c r="E38" s="1">
        <v>40</v>
      </c>
      <c r="F38" s="1" t="s">
        <v>639</v>
      </c>
      <c r="G38" s="1">
        <v>14</v>
      </c>
      <c r="H38" s="1">
        <v>17</v>
      </c>
      <c r="I38" s="1">
        <v>9810</v>
      </c>
      <c r="J38" s="1">
        <v>4</v>
      </c>
      <c r="K38" s="1">
        <v>3</v>
      </c>
      <c r="L38" s="1">
        <v>26</v>
      </c>
    </row>
    <row r="39" spans="1:12" x14ac:dyDescent="0.25">
      <c r="A39" s="1" t="s">
        <v>134</v>
      </c>
      <c r="B39" s="1" t="s">
        <v>612</v>
      </c>
      <c r="C39" s="1" t="s">
        <v>618</v>
      </c>
      <c r="D39" s="1" t="s">
        <v>638</v>
      </c>
      <c r="E39" s="1">
        <v>58</v>
      </c>
      <c r="F39" s="1" t="s">
        <v>639</v>
      </c>
      <c r="G39" s="1">
        <v>14</v>
      </c>
      <c r="H39" s="1">
        <v>31</v>
      </c>
      <c r="I39" s="1">
        <v>9620</v>
      </c>
      <c r="J39" s="1">
        <v>3</v>
      </c>
      <c r="K39" s="1">
        <v>5</v>
      </c>
      <c r="L39" s="1">
        <v>0</v>
      </c>
    </row>
    <row r="40" spans="1:12" x14ac:dyDescent="0.25">
      <c r="A40" s="1" t="s">
        <v>611</v>
      </c>
      <c r="B40" s="1" t="s">
        <v>613</v>
      </c>
      <c r="C40" s="1" t="s">
        <v>623</v>
      </c>
      <c r="D40" s="1" t="s">
        <v>637</v>
      </c>
      <c r="E40" s="1">
        <v>51</v>
      </c>
      <c r="F40" s="1" t="s">
        <v>639</v>
      </c>
      <c r="G40" s="1">
        <v>14</v>
      </c>
      <c r="H40" s="1">
        <v>24</v>
      </c>
      <c r="I40" s="1">
        <v>9570</v>
      </c>
      <c r="J40" s="1">
        <v>3</v>
      </c>
      <c r="K40" s="1">
        <v>2</v>
      </c>
      <c r="L40" s="1">
        <v>0</v>
      </c>
    </row>
    <row r="41" spans="1:12" x14ac:dyDescent="0.25">
      <c r="A41" s="1" t="s">
        <v>402</v>
      </c>
      <c r="B41" s="1" t="s">
        <v>615</v>
      </c>
      <c r="C41" s="1" t="s">
        <v>622</v>
      </c>
      <c r="D41" s="1" t="s">
        <v>637</v>
      </c>
      <c r="E41" s="1">
        <v>47</v>
      </c>
      <c r="F41" s="1" t="s">
        <v>642</v>
      </c>
      <c r="G41" s="1">
        <v>14</v>
      </c>
      <c r="H41" s="1">
        <v>23</v>
      </c>
      <c r="I41" s="1">
        <v>9400</v>
      </c>
      <c r="J41" s="1">
        <v>4</v>
      </c>
      <c r="K41" s="1">
        <v>3</v>
      </c>
      <c r="L41" s="1">
        <v>8</v>
      </c>
    </row>
    <row r="42" spans="1:12" x14ac:dyDescent="0.25">
      <c r="A42" s="1" t="s">
        <v>410</v>
      </c>
      <c r="B42" s="1" t="s">
        <v>617</v>
      </c>
      <c r="C42" s="1" t="s">
        <v>628</v>
      </c>
      <c r="D42" s="1" t="s">
        <v>637</v>
      </c>
      <c r="E42" s="1">
        <v>41</v>
      </c>
      <c r="F42" s="1" t="s">
        <v>640</v>
      </c>
      <c r="G42" s="1">
        <v>14</v>
      </c>
      <c r="H42" s="1">
        <v>17</v>
      </c>
      <c r="I42" s="1">
        <v>8860</v>
      </c>
      <c r="J42" s="1">
        <v>3</v>
      </c>
      <c r="K42" s="1">
        <v>4</v>
      </c>
      <c r="L42" s="1">
        <v>5</v>
      </c>
    </row>
    <row r="43" spans="1:12" x14ac:dyDescent="0.25">
      <c r="A43" s="1" t="s">
        <v>449</v>
      </c>
      <c r="B43" s="1" t="s">
        <v>612</v>
      </c>
      <c r="C43" s="1" t="s">
        <v>618</v>
      </c>
      <c r="D43" s="1" t="s">
        <v>637</v>
      </c>
      <c r="E43" s="1">
        <v>57</v>
      </c>
      <c r="F43" s="1" t="s">
        <v>639</v>
      </c>
      <c r="G43" s="1">
        <v>14</v>
      </c>
      <c r="H43" s="1">
        <v>34</v>
      </c>
      <c r="I43" s="1">
        <v>8390</v>
      </c>
      <c r="J43" s="1">
        <v>3</v>
      </c>
      <c r="K43" s="1">
        <v>5</v>
      </c>
      <c r="L43" s="1">
        <v>18</v>
      </c>
    </row>
    <row r="44" spans="1:12" x14ac:dyDescent="0.25">
      <c r="A44" s="1" t="s">
        <v>263</v>
      </c>
      <c r="B44" s="1" t="s">
        <v>614</v>
      </c>
      <c r="C44" s="1" t="s">
        <v>621</v>
      </c>
      <c r="D44" s="1" t="s">
        <v>637</v>
      </c>
      <c r="E44" s="1">
        <v>34</v>
      </c>
      <c r="F44" s="1" t="s">
        <v>642</v>
      </c>
      <c r="G44" s="1">
        <v>14</v>
      </c>
      <c r="H44" s="1">
        <v>14</v>
      </c>
      <c r="I44" s="1">
        <v>8100</v>
      </c>
      <c r="J44" s="1">
        <v>4</v>
      </c>
      <c r="K44" s="1">
        <v>5</v>
      </c>
      <c r="L44" s="1">
        <v>8</v>
      </c>
    </row>
    <row r="45" spans="1:12" x14ac:dyDescent="0.25">
      <c r="A45" s="1" t="s">
        <v>556</v>
      </c>
      <c r="B45" s="1" t="s">
        <v>616</v>
      </c>
      <c r="C45" s="1" t="s">
        <v>624</v>
      </c>
      <c r="D45" s="1" t="s">
        <v>637</v>
      </c>
      <c r="E45" s="1">
        <v>47</v>
      </c>
      <c r="F45" s="1" t="s">
        <v>639</v>
      </c>
      <c r="G45" s="1">
        <v>14</v>
      </c>
      <c r="H45" s="1">
        <v>20</v>
      </c>
      <c r="I45" s="1">
        <v>8050</v>
      </c>
      <c r="J45" s="1">
        <v>4</v>
      </c>
      <c r="K45" s="1">
        <v>4</v>
      </c>
      <c r="L45" s="1">
        <v>9</v>
      </c>
    </row>
    <row r="46" spans="1:12" x14ac:dyDescent="0.25">
      <c r="A46" s="1" t="s">
        <v>524</v>
      </c>
      <c r="B46" s="1" t="s">
        <v>617</v>
      </c>
      <c r="C46" s="1" t="s">
        <v>627</v>
      </c>
      <c r="D46" s="1" t="s">
        <v>637</v>
      </c>
      <c r="E46" s="1">
        <v>38</v>
      </c>
      <c r="F46" s="1" t="s">
        <v>639</v>
      </c>
      <c r="G46" s="1">
        <v>14</v>
      </c>
      <c r="H46" s="1">
        <v>19</v>
      </c>
      <c r="I46" s="1">
        <v>7870</v>
      </c>
      <c r="J46" s="1">
        <v>3</v>
      </c>
      <c r="K46" s="1">
        <v>2</v>
      </c>
      <c r="L46" s="1">
        <v>0</v>
      </c>
    </row>
    <row r="47" spans="1:12" x14ac:dyDescent="0.25">
      <c r="A47" s="1" t="s">
        <v>296</v>
      </c>
      <c r="B47" s="1" t="s">
        <v>613</v>
      </c>
      <c r="C47" s="1" t="s">
        <v>620</v>
      </c>
      <c r="D47" s="1" t="s">
        <v>637</v>
      </c>
      <c r="E47" s="1">
        <v>47</v>
      </c>
      <c r="F47" s="1" t="s">
        <v>640</v>
      </c>
      <c r="G47" s="1">
        <v>14</v>
      </c>
      <c r="H47" s="1">
        <v>23</v>
      </c>
      <c r="I47" s="1">
        <v>7740</v>
      </c>
      <c r="J47" s="1">
        <v>4</v>
      </c>
      <c r="K47" s="1">
        <v>1</v>
      </c>
      <c r="L47" s="1">
        <v>9</v>
      </c>
    </row>
    <row r="48" spans="1:12" x14ac:dyDescent="0.25">
      <c r="A48" s="1" t="s">
        <v>329</v>
      </c>
      <c r="B48" s="1" t="s">
        <v>617</v>
      </c>
      <c r="C48" s="1" t="s">
        <v>634</v>
      </c>
      <c r="D48" s="1" t="s">
        <v>638</v>
      </c>
      <c r="E48" s="1">
        <v>42</v>
      </c>
      <c r="F48" s="1" t="s">
        <v>640</v>
      </c>
      <c r="G48" s="1">
        <v>14</v>
      </c>
      <c r="H48" s="1">
        <v>16</v>
      </c>
      <c r="I48" s="1">
        <v>7500</v>
      </c>
      <c r="J48" s="1">
        <v>3</v>
      </c>
      <c r="K48" s="1">
        <v>2</v>
      </c>
      <c r="L48" s="1">
        <v>4</v>
      </c>
    </row>
    <row r="49" spans="1:12" x14ac:dyDescent="0.25">
      <c r="A49" s="1" t="s">
        <v>287</v>
      </c>
      <c r="B49" s="1" t="s">
        <v>617</v>
      </c>
      <c r="C49" s="1" t="s">
        <v>627</v>
      </c>
      <c r="D49" s="1" t="s">
        <v>638</v>
      </c>
      <c r="E49" s="1">
        <v>37</v>
      </c>
      <c r="F49" s="1" t="s">
        <v>639</v>
      </c>
      <c r="G49" s="1">
        <v>14</v>
      </c>
      <c r="H49" s="1">
        <v>16</v>
      </c>
      <c r="I49" s="1">
        <v>6420</v>
      </c>
      <c r="J49" s="1">
        <v>3</v>
      </c>
      <c r="K49" s="1">
        <v>4</v>
      </c>
      <c r="L49" s="1">
        <v>13</v>
      </c>
    </row>
    <row r="50" spans="1:12" x14ac:dyDescent="0.25">
      <c r="A50" s="1" t="s">
        <v>371</v>
      </c>
      <c r="B50" s="1" t="s">
        <v>614</v>
      </c>
      <c r="C50" s="1" t="s">
        <v>621</v>
      </c>
      <c r="D50" s="1" t="s">
        <v>638</v>
      </c>
      <c r="E50" s="1">
        <v>59</v>
      </c>
      <c r="F50" s="1" t="s">
        <v>640</v>
      </c>
      <c r="G50" s="1">
        <v>13</v>
      </c>
      <c r="H50" s="1">
        <v>40</v>
      </c>
      <c r="I50" s="1">
        <v>10970</v>
      </c>
      <c r="J50" s="1">
        <v>3</v>
      </c>
      <c r="K50" s="1">
        <v>4</v>
      </c>
      <c r="L50" s="1">
        <v>2</v>
      </c>
    </row>
    <row r="51" spans="1:12" x14ac:dyDescent="0.25">
      <c r="A51" s="1" t="s">
        <v>119</v>
      </c>
      <c r="B51" s="1" t="s">
        <v>615</v>
      </c>
      <c r="C51" s="1" t="s">
        <v>625</v>
      </c>
      <c r="D51" s="1" t="s">
        <v>638</v>
      </c>
      <c r="E51" s="1">
        <v>55</v>
      </c>
      <c r="F51" s="1" t="s">
        <v>641</v>
      </c>
      <c r="G51" s="1">
        <v>13</v>
      </c>
      <c r="H51" s="1">
        <v>33</v>
      </c>
      <c r="I51" s="1">
        <v>10260</v>
      </c>
      <c r="J51" s="1">
        <v>4</v>
      </c>
      <c r="K51" s="1">
        <v>4</v>
      </c>
      <c r="L51" s="1">
        <v>17</v>
      </c>
    </row>
    <row r="52" spans="1:12" x14ac:dyDescent="0.25">
      <c r="A52" s="1" t="s">
        <v>373</v>
      </c>
      <c r="B52" s="1" t="s">
        <v>614</v>
      </c>
      <c r="C52" s="1" t="s">
        <v>632</v>
      </c>
      <c r="D52" s="1" t="s">
        <v>638</v>
      </c>
      <c r="E52" s="1">
        <v>35</v>
      </c>
      <c r="F52" s="1" t="s">
        <v>640</v>
      </c>
      <c r="G52" s="1">
        <v>13</v>
      </c>
      <c r="H52" s="1">
        <v>17</v>
      </c>
      <c r="I52" s="1">
        <v>9880</v>
      </c>
      <c r="J52" s="1">
        <v>3</v>
      </c>
      <c r="K52" s="1">
        <v>1</v>
      </c>
      <c r="L52" s="1">
        <v>21</v>
      </c>
    </row>
    <row r="53" spans="1:12" x14ac:dyDescent="0.25">
      <c r="A53" s="1" t="s">
        <v>153</v>
      </c>
      <c r="B53" s="1" t="s">
        <v>614</v>
      </c>
      <c r="C53" s="1" t="s">
        <v>632</v>
      </c>
      <c r="D53" s="1" t="s">
        <v>638</v>
      </c>
      <c r="E53" s="1">
        <v>47</v>
      </c>
      <c r="F53" s="1" t="s">
        <v>640</v>
      </c>
      <c r="G53" s="1">
        <v>13</v>
      </c>
      <c r="H53" s="1">
        <v>18</v>
      </c>
      <c r="I53" s="1">
        <v>9860</v>
      </c>
      <c r="J53" s="1">
        <v>4</v>
      </c>
      <c r="K53" s="1">
        <v>4</v>
      </c>
      <c r="L53" s="1">
        <v>11</v>
      </c>
    </row>
    <row r="54" spans="1:12" x14ac:dyDescent="0.25">
      <c r="A54" s="1" t="s">
        <v>65</v>
      </c>
      <c r="B54" s="1" t="s">
        <v>614</v>
      </c>
      <c r="C54" s="1" t="s">
        <v>632</v>
      </c>
      <c r="D54" s="1" t="s">
        <v>637</v>
      </c>
      <c r="E54" s="1">
        <v>43</v>
      </c>
      <c r="F54" s="1" t="s">
        <v>640</v>
      </c>
      <c r="G54" s="1">
        <v>13</v>
      </c>
      <c r="H54" s="1">
        <v>21</v>
      </c>
      <c r="I54" s="1">
        <v>9660</v>
      </c>
      <c r="J54" s="1">
        <v>1</v>
      </c>
      <c r="K54" s="1">
        <v>3</v>
      </c>
      <c r="L54" s="1">
        <v>8</v>
      </c>
    </row>
    <row r="55" spans="1:12" x14ac:dyDescent="0.25">
      <c r="A55" s="1" t="s">
        <v>322</v>
      </c>
      <c r="B55" s="1" t="s">
        <v>617</v>
      </c>
      <c r="C55" s="1" t="s">
        <v>634</v>
      </c>
      <c r="D55" s="1" t="s">
        <v>638</v>
      </c>
      <c r="E55" s="1">
        <v>58</v>
      </c>
      <c r="F55" s="1" t="s">
        <v>639</v>
      </c>
      <c r="G55" s="1">
        <v>13</v>
      </c>
      <c r="H55" s="1">
        <v>38</v>
      </c>
      <c r="I55" s="1">
        <v>9350</v>
      </c>
      <c r="J55" s="1">
        <v>3</v>
      </c>
      <c r="K55" s="1">
        <v>4</v>
      </c>
      <c r="L55" s="1">
        <v>20</v>
      </c>
    </row>
    <row r="56" spans="1:12" x14ac:dyDescent="0.25">
      <c r="A56" s="1" t="s">
        <v>372</v>
      </c>
      <c r="B56" s="1" t="s">
        <v>612</v>
      </c>
      <c r="C56" s="1" t="s">
        <v>619</v>
      </c>
      <c r="D56" s="1" t="s">
        <v>637</v>
      </c>
      <c r="E56" s="1">
        <v>51</v>
      </c>
      <c r="F56" s="1" t="s">
        <v>639</v>
      </c>
      <c r="G56" s="1">
        <v>13</v>
      </c>
      <c r="H56" s="1">
        <v>28</v>
      </c>
      <c r="I56" s="1">
        <v>9350</v>
      </c>
      <c r="J56" s="1">
        <v>3</v>
      </c>
      <c r="K56" s="1">
        <v>1</v>
      </c>
      <c r="L56" s="1">
        <v>8</v>
      </c>
    </row>
    <row r="57" spans="1:12" x14ac:dyDescent="0.25">
      <c r="A57" s="1" t="s">
        <v>147</v>
      </c>
      <c r="B57" s="1" t="s">
        <v>612</v>
      </c>
      <c r="C57" s="1" t="s">
        <v>618</v>
      </c>
      <c r="D57" s="1" t="s">
        <v>637</v>
      </c>
      <c r="E57" s="1">
        <v>43</v>
      </c>
      <c r="F57" s="1" t="s">
        <v>639</v>
      </c>
      <c r="G57" s="1">
        <v>13</v>
      </c>
      <c r="H57" s="1">
        <v>24</v>
      </c>
      <c r="I57" s="1">
        <v>9290</v>
      </c>
      <c r="J57" s="1">
        <v>2</v>
      </c>
      <c r="K57" s="1">
        <v>3</v>
      </c>
      <c r="L57" s="1">
        <v>6</v>
      </c>
    </row>
    <row r="58" spans="1:12" x14ac:dyDescent="0.25">
      <c r="A58" s="1" t="s">
        <v>575</v>
      </c>
      <c r="B58" s="1" t="s">
        <v>615</v>
      </c>
      <c r="C58" s="1" t="s">
        <v>625</v>
      </c>
      <c r="D58" s="1" t="s">
        <v>638</v>
      </c>
      <c r="E58" s="1">
        <v>37</v>
      </c>
      <c r="F58" s="1" t="s">
        <v>639</v>
      </c>
      <c r="G58" s="1">
        <v>13</v>
      </c>
      <c r="H58" s="1">
        <v>13</v>
      </c>
      <c r="I58" s="1">
        <v>9070</v>
      </c>
      <c r="J58" s="1">
        <v>3</v>
      </c>
      <c r="K58" s="1">
        <v>2</v>
      </c>
      <c r="L58" s="1">
        <v>8</v>
      </c>
    </row>
    <row r="59" spans="1:12" x14ac:dyDescent="0.25">
      <c r="A59" s="1" t="s">
        <v>33</v>
      </c>
      <c r="B59" s="1" t="s">
        <v>612</v>
      </c>
      <c r="C59" s="1" t="s">
        <v>630</v>
      </c>
      <c r="D59" s="1" t="s">
        <v>638</v>
      </c>
      <c r="E59" s="1">
        <v>42</v>
      </c>
      <c r="F59" s="1" t="s">
        <v>639</v>
      </c>
      <c r="G59" s="1">
        <v>13</v>
      </c>
      <c r="H59" s="1">
        <v>19</v>
      </c>
      <c r="I59" s="1">
        <v>8950</v>
      </c>
      <c r="J59" s="1">
        <v>5</v>
      </c>
      <c r="K59" s="1">
        <v>3</v>
      </c>
      <c r="L59" s="1">
        <v>13</v>
      </c>
    </row>
    <row r="60" spans="1:12" x14ac:dyDescent="0.25">
      <c r="A60" s="1" t="s">
        <v>116</v>
      </c>
      <c r="B60" s="1" t="s">
        <v>613</v>
      </c>
      <c r="C60" s="1" t="s">
        <v>631</v>
      </c>
      <c r="D60" s="1" t="s">
        <v>638</v>
      </c>
      <c r="E60" s="1">
        <v>45</v>
      </c>
      <c r="F60" s="1" t="s">
        <v>642</v>
      </c>
      <c r="G60" s="1">
        <v>13</v>
      </c>
      <c r="H60" s="1">
        <v>27</v>
      </c>
      <c r="I60" s="1">
        <v>8920</v>
      </c>
      <c r="J60" s="1">
        <v>2</v>
      </c>
      <c r="K60" s="1">
        <v>5</v>
      </c>
      <c r="L60" s="1">
        <v>4</v>
      </c>
    </row>
    <row r="61" spans="1:12" x14ac:dyDescent="0.25">
      <c r="A61" s="1" t="s">
        <v>501</v>
      </c>
      <c r="B61" s="1" t="s">
        <v>615</v>
      </c>
      <c r="C61" s="1" t="s">
        <v>625</v>
      </c>
      <c r="D61" s="1" t="s">
        <v>637</v>
      </c>
      <c r="E61" s="1">
        <v>43</v>
      </c>
      <c r="F61" s="1" t="s">
        <v>642</v>
      </c>
      <c r="G61" s="1">
        <v>13</v>
      </c>
      <c r="H61" s="1">
        <v>15</v>
      </c>
      <c r="I61" s="1">
        <v>8650</v>
      </c>
      <c r="J61" s="1">
        <v>5</v>
      </c>
      <c r="K61" s="1">
        <v>3</v>
      </c>
      <c r="L61" s="1">
        <v>13</v>
      </c>
    </row>
    <row r="62" spans="1:12" x14ac:dyDescent="0.25">
      <c r="A62" s="1" t="s">
        <v>357</v>
      </c>
      <c r="B62" s="1" t="s">
        <v>613</v>
      </c>
      <c r="C62" s="1" t="s">
        <v>631</v>
      </c>
      <c r="D62" s="1" t="s">
        <v>638</v>
      </c>
      <c r="E62" s="1">
        <v>40</v>
      </c>
      <c r="F62" s="1" t="s">
        <v>639</v>
      </c>
      <c r="G62" s="1">
        <v>13</v>
      </c>
      <c r="H62" s="1">
        <v>20</v>
      </c>
      <c r="I62" s="1">
        <v>8490</v>
      </c>
      <c r="J62" s="1">
        <v>4</v>
      </c>
      <c r="K62" s="1">
        <v>3</v>
      </c>
      <c r="L62" s="1">
        <v>10</v>
      </c>
    </row>
    <row r="63" spans="1:12" x14ac:dyDescent="0.25">
      <c r="A63" s="1" t="s">
        <v>594</v>
      </c>
      <c r="B63" s="1" t="s">
        <v>617</v>
      </c>
      <c r="C63" s="1" t="s">
        <v>634</v>
      </c>
      <c r="D63" s="1" t="s">
        <v>637</v>
      </c>
      <c r="E63" s="1">
        <v>56</v>
      </c>
      <c r="F63" s="1" t="s">
        <v>640</v>
      </c>
      <c r="G63" s="1">
        <v>13</v>
      </c>
      <c r="H63" s="1">
        <v>29</v>
      </c>
      <c r="I63" s="1">
        <v>8360</v>
      </c>
      <c r="J63" s="1">
        <v>3</v>
      </c>
      <c r="K63" s="1">
        <v>5</v>
      </c>
      <c r="L63" s="1">
        <v>11</v>
      </c>
    </row>
    <row r="64" spans="1:12" x14ac:dyDescent="0.25">
      <c r="A64" s="1" t="s">
        <v>258</v>
      </c>
      <c r="B64" s="1" t="s">
        <v>617</v>
      </c>
      <c r="C64" s="1" t="s">
        <v>627</v>
      </c>
      <c r="D64" s="1" t="s">
        <v>638</v>
      </c>
      <c r="E64" s="1">
        <v>37</v>
      </c>
      <c r="F64" s="1" t="s">
        <v>639</v>
      </c>
      <c r="G64" s="1">
        <v>13</v>
      </c>
      <c r="H64" s="1">
        <v>17</v>
      </c>
      <c r="I64" s="1">
        <v>8300</v>
      </c>
      <c r="J64" s="1">
        <v>4</v>
      </c>
      <c r="K64" s="1">
        <v>4</v>
      </c>
      <c r="L64" s="1">
        <v>2</v>
      </c>
    </row>
    <row r="65" spans="1:12" x14ac:dyDescent="0.25">
      <c r="A65" s="1" t="s">
        <v>230</v>
      </c>
      <c r="B65" s="1" t="s">
        <v>613</v>
      </c>
      <c r="C65" s="1" t="s">
        <v>631</v>
      </c>
      <c r="D65" s="1" t="s">
        <v>638</v>
      </c>
      <c r="E65" s="1">
        <v>56</v>
      </c>
      <c r="F65" s="1" t="s">
        <v>642</v>
      </c>
      <c r="G65" s="1">
        <v>13</v>
      </c>
      <c r="H65" s="1">
        <v>27</v>
      </c>
      <c r="I65" s="1">
        <v>8190</v>
      </c>
      <c r="J65" s="1">
        <v>4</v>
      </c>
      <c r="K65" s="1">
        <v>2</v>
      </c>
      <c r="L65" s="1">
        <v>14</v>
      </c>
    </row>
    <row r="66" spans="1:12" x14ac:dyDescent="0.25">
      <c r="A66" s="1" t="s">
        <v>104</v>
      </c>
      <c r="B66" s="1" t="s">
        <v>616</v>
      </c>
      <c r="C66" s="1" t="s">
        <v>624</v>
      </c>
      <c r="D66" s="1" t="s">
        <v>638</v>
      </c>
      <c r="E66" s="1">
        <v>46</v>
      </c>
      <c r="F66" s="1" t="s">
        <v>639</v>
      </c>
      <c r="G66" s="1">
        <v>13</v>
      </c>
      <c r="H66" s="1">
        <v>23</v>
      </c>
      <c r="I66" s="1">
        <v>7830</v>
      </c>
      <c r="J66" s="1">
        <v>4</v>
      </c>
      <c r="K66" s="1">
        <v>3</v>
      </c>
      <c r="L66" s="1">
        <v>11</v>
      </c>
    </row>
    <row r="67" spans="1:12" x14ac:dyDescent="0.25">
      <c r="A67" s="1" t="s">
        <v>500</v>
      </c>
      <c r="B67" s="1" t="s">
        <v>613</v>
      </c>
      <c r="C67" s="1" t="s">
        <v>620</v>
      </c>
      <c r="D67" s="1" t="s">
        <v>637</v>
      </c>
      <c r="E67" s="1">
        <v>32</v>
      </c>
      <c r="F67" s="1" t="s">
        <v>639</v>
      </c>
      <c r="G67" s="1">
        <v>13</v>
      </c>
      <c r="H67" s="1">
        <v>14</v>
      </c>
      <c r="I67" s="1">
        <v>6590</v>
      </c>
      <c r="J67" s="1">
        <v>3</v>
      </c>
      <c r="K67" s="1">
        <v>1</v>
      </c>
      <c r="L67" s="1">
        <v>9</v>
      </c>
    </row>
    <row r="68" spans="1:12" x14ac:dyDescent="0.25">
      <c r="A68" s="1" t="s">
        <v>605</v>
      </c>
      <c r="B68" s="1" t="s">
        <v>617</v>
      </c>
      <c r="C68" s="1" t="s">
        <v>634</v>
      </c>
      <c r="D68" s="1" t="s">
        <v>637</v>
      </c>
      <c r="E68" s="1">
        <v>38</v>
      </c>
      <c r="F68" s="1" t="s">
        <v>639</v>
      </c>
      <c r="G68" s="1">
        <v>13</v>
      </c>
      <c r="H68" s="1">
        <v>14</v>
      </c>
      <c r="I68" s="1">
        <v>5800</v>
      </c>
      <c r="J68" s="1">
        <v>3</v>
      </c>
      <c r="K68" s="1">
        <v>3</v>
      </c>
      <c r="L68" s="1">
        <v>7</v>
      </c>
    </row>
    <row r="69" spans="1:12" x14ac:dyDescent="0.25">
      <c r="A69" s="1" t="s">
        <v>582</v>
      </c>
      <c r="B69" s="1" t="s">
        <v>614</v>
      </c>
      <c r="C69" s="1" t="s">
        <v>621</v>
      </c>
      <c r="D69" s="1" t="s">
        <v>638</v>
      </c>
      <c r="E69" s="1">
        <v>51</v>
      </c>
      <c r="F69" s="1" t="s">
        <v>640</v>
      </c>
      <c r="G69" s="1">
        <v>12</v>
      </c>
      <c r="H69" s="1">
        <v>29</v>
      </c>
      <c r="I69" s="1">
        <v>10860</v>
      </c>
      <c r="J69" s="1">
        <v>4</v>
      </c>
      <c r="K69" s="1">
        <v>2</v>
      </c>
      <c r="L69" s="1">
        <v>7</v>
      </c>
    </row>
    <row r="70" spans="1:12" x14ac:dyDescent="0.25">
      <c r="A70" s="1" t="s">
        <v>382</v>
      </c>
      <c r="B70" s="1" t="s">
        <v>613</v>
      </c>
      <c r="C70" s="1" t="s">
        <v>631</v>
      </c>
      <c r="D70" s="1" t="s">
        <v>638</v>
      </c>
      <c r="E70" s="1">
        <v>53</v>
      </c>
      <c r="F70" s="1" t="s">
        <v>639</v>
      </c>
      <c r="G70" s="1">
        <v>12</v>
      </c>
      <c r="H70" s="1">
        <v>33</v>
      </c>
      <c r="I70" s="1">
        <v>10000</v>
      </c>
      <c r="J70" s="1">
        <v>3</v>
      </c>
      <c r="K70" s="1">
        <v>2</v>
      </c>
      <c r="L70" s="1">
        <v>0</v>
      </c>
    </row>
    <row r="71" spans="1:12" x14ac:dyDescent="0.25">
      <c r="A71" s="1" t="s">
        <v>53</v>
      </c>
      <c r="B71" s="1" t="s">
        <v>612</v>
      </c>
      <c r="C71" s="1" t="s">
        <v>618</v>
      </c>
      <c r="D71" s="1" t="s">
        <v>637</v>
      </c>
      <c r="E71" s="1">
        <v>58</v>
      </c>
      <c r="F71" s="1" t="s">
        <v>639</v>
      </c>
      <c r="G71" s="1">
        <v>12</v>
      </c>
      <c r="H71" s="1">
        <v>35</v>
      </c>
      <c r="I71" s="1">
        <v>9870</v>
      </c>
      <c r="J71" s="1">
        <v>2</v>
      </c>
      <c r="K71" s="1">
        <v>3</v>
      </c>
      <c r="L71" s="1">
        <v>8</v>
      </c>
    </row>
    <row r="72" spans="1:12" x14ac:dyDescent="0.25">
      <c r="A72" s="1" t="s">
        <v>432</v>
      </c>
      <c r="B72" s="1" t="s">
        <v>614</v>
      </c>
      <c r="C72" s="1" t="s">
        <v>626</v>
      </c>
      <c r="D72" s="1" t="s">
        <v>638</v>
      </c>
      <c r="E72" s="1">
        <v>50</v>
      </c>
      <c r="F72" s="1" t="s">
        <v>639</v>
      </c>
      <c r="G72" s="1">
        <v>12</v>
      </c>
      <c r="H72" s="1">
        <v>27</v>
      </c>
      <c r="I72" s="1">
        <v>9800</v>
      </c>
      <c r="J72" s="1">
        <v>3</v>
      </c>
      <c r="K72" s="1">
        <v>2</v>
      </c>
      <c r="L72" s="1">
        <v>6</v>
      </c>
    </row>
    <row r="73" spans="1:12" x14ac:dyDescent="0.25">
      <c r="A73" s="1" t="s">
        <v>275</v>
      </c>
      <c r="B73" s="1" t="s">
        <v>613</v>
      </c>
      <c r="C73" s="1" t="s">
        <v>631</v>
      </c>
      <c r="D73" s="1" t="s">
        <v>637</v>
      </c>
      <c r="E73" s="1">
        <v>56</v>
      </c>
      <c r="F73" s="1" t="s">
        <v>639</v>
      </c>
      <c r="G73" s="1">
        <v>12</v>
      </c>
      <c r="H73" s="1">
        <v>32</v>
      </c>
      <c r="I73" s="1">
        <v>9690</v>
      </c>
      <c r="J73" s="1">
        <v>4</v>
      </c>
      <c r="K73" s="1">
        <v>3</v>
      </c>
      <c r="L73" s="1">
        <v>4</v>
      </c>
    </row>
    <row r="74" spans="1:12" x14ac:dyDescent="0.25">
      <c r="A74" s="1" t="s">
        <v>458</v>
      </c>
      <c r="B74" s="1" t="s">
        <v>616</v>
      </c>
      <c r="C74" s="1" t="s">
        <v>624</v>
      </c>
      <c r="D74" s="1" t="s">
        <v>638</v>
      </c>
      <c r="E74" s="1">
        <v>51</v>
      </c>
      <c r="F74" s="1" t="s">
        <v>640</v>
      </c>
      <c r="G74" s="1">
        <v>12</v>
      </c>
      <c r="H74" s="1">
        <v>26</v>
      </c>
      <c r="I74" s="1">
        <v>9390</v>
      </c>
      <c r="J74" s="1">
        <v>4</v>
      </c>
      <c r="K74" s="1">
        <v>4</v>
      </c>
      <c r="L74" s="1">
        <v>0</v>
      </c>
    </row>
    <row r="75" spans="1:12" x14ac:dyDescent="0.25">
      <c r="A75" s="1" t="s">
        <v>332</v>
      </c>
      <c r="B75" s="1" t="s">
        <v>613</v>
      </c>
      <c r="C75" s="1" t="s">
        <v>623</v>
      </c>
      <c r="D75" s="1" t="s">
        <v>637</v>
      </c>
      <c r="E75" s="1">
        <v>48</v>
      </c>
      <c r="F75" s="1" t="s">
        <v>639</v>
      </c>
      <c r="G75" s="1">
        <v>12</v>
      </c>
      <c r="H75" s="1">
        <v>21</v>
      </c>
      <c r="I75" s="1">
        <v>9260</v>
      </c>
      <c r="J75" s="1">
        <v>4</v>
      </c>
      <c r="K75" s="1">
        <v>3</v>
      </c>
      <c r="L75" s="1">
        <v>13</v>
      </c>
    </row>
    <row r="76" spans="1:12" x14ac:dyDescent="0.25">
      <c r="A76" s="1" t="s">
        <v>365</v>
      </c>
      <c r="B76" s="1" t="s">
        <v>612</v>
      </c>
      <c r="C76" s="1" t="s">
        <v>630</v>
      </c>
      <c r="D76" s="1" t="s">
        <v>638</v>
      </c>
      <c r="E76" s="1">
        <v>45</v>
      </c>
      <c r="F76" s="1" t="s">
        <v>641</v>
      </c>
      <c r="G76" s="1">
        <v>12</v>
      </c>
      <c r="H76" s="1">
        <v>20</v>
      </c>
      <c r="I76" s="1">
        <v>9110</v>
      </c>
      <c r="J76" s="1">
        <v>3</v>
      </c>
      <c r="K76" s="1">
        <v>3</v>
      </c>
      <c r="L76" s="1">
        <v>1</v>
      </c>
    </row>
    <row r="77" spans="1:12" x14ac:dyDescent="0.25">
      <c r="A77" s="1" t="s">
        <v>251</v>
      </c>
      <c r="B77" s="1" t="s">
        <v>616</v>
      </c>
      <c r="C77" s="1" t="s">
        <v>636</v>
      </c>
      <c r="D77" s="1" t="s">
        <v>638</v>
      </c>
      <c r="E77" s="1">
        <v>50</v>
      </c>
      <c r="F77" s="1" t="s">
        <v>639</v>
      </c>
      <c r="G77" s="1">
        <v>12</v>
      </c>
      <c r="H77" s="1">
        <v>25</v>
      </c>
      <c r="I77" s="1">
        <v>9090</v>
      </c>
      <c r="J77" s="1">
        <v>3</v>
      </c>
      <c r="K77" s="1">
        <v>5</v>
      </c>
      <c r="L77" s="1">
        <v>0</v>
      </c>
    </row>
    <row r="78" spans="1:12" x14ac:dyDescent="0.25">
      <c r="A78" s="1" t="s">
        <v>535</v>
      </c>
      <c r="B78" s="1" t="s">
        <v>613</v>
      </c>
      <c r="C78" s="1" t="s">
        <v>631</v>
      </c>
      <c r="D78" s="1" t="s">
        <v>638</v>
      </c>
      <c r="E78" s="1">
        <v>40</v>
      </c>
      <c r="F78" s="1" t="s">
        <v>640</v>
      </c>
      <c r="G78" s="1">
        <v>12</v>
      </c>
      <c r="H78" s="1">
        <v>18</v>
      </c>
      <c r="I78" s="1">
        <v>8870</v>
      </c>
      <c r="J78" s="1">
        <v>3</v>
      </c>
      <c r="K78" s="1">
        <v>3</v>
      </c>
      <c r="L78" s="1">
        <v>8</v>
      </c>
    </row>
    <row r="79" spans="1:12" x14ac:dyDescent="0.25">
      <c r="A79" s="1" t="s">
        <v>49</v>
      </c>
      <c r="B79" s="1" t="s">
        <v>617</v>
      </c>
      <c r="C79" s="1" t="s">
        <v>627</v>
      </c>
      <c r="D79" s="1" t="s">
        <v>637</v>
      </c>
      <c r="E79" s="1">
        <v>56</v>
      </c>
      <c r="F79" s="1" t="s">
        <v>639</v>
      </c>
      <c r="G79" s="1">
        <v>12</v>
      </c>
      <c r="H79" s="1">
        <v>30</v>
      </c>
      <c r="I79" s="1">
        <v>8860</v>
      </c>
      <c r="J79" s="1">
        <v>4</v>
      </c>
      <c r="K79" s="1">
        <v>5</v>
      </c>
      <c r="L79" s="1">
        <v>5</v>
      </c>
    </row>
    <row r="80" spans="1:12" x14ac:dyDescent="0.25">
      <c r="A80" s="1" t="s">
        <v>246</v>
      </c>
      <c r="B80" s="1" t="s">
        <v>613</v>
      </c>
      <c r="C80" s="1" t="s">
        <v>623</v>
      </c>
      <c r="D80" s="1" t="s">
        <v>638</v>
      </c>
      <c r="E80" s="1">
        <v>38</v>
      </c>
      <c r="F80" s="1" t="s">
        <v>639</v>
      </c>
      <c r="G80" s="1">
        <v>12</v>
      </c>
      <c r="H80" s="1">
        <v>15</v>
      </c>
      <c r="I80" s="1">
        <v>8830</v>
      </c>
      <c r="J80" s="1">
        <v>3</v>
      </c>
      <c r="K80" s="1">
        <v>4</v>
      </c>
      <c r="L80" s="1">
        <v>5</v>
      </c>
    </row>
    <row r="81" spans="1:12" x14ac:dyDescent="0.25">
      <c r="A81" s="1" t="s">
        <v>317</v>
      </c>
      <c r="B81" s="1" t="s">
        <v>613</v>
      </c>
      <c r="C81" s="1" t="s">
        <v>631</v>
      </c>
      <c r="D81" s="1" t="s">
        <v>638</v>
      </c>
      <c r="E81" s="1">
        <v>48</v>
      </c>
      <c r="F81" s="1" t="s">
        <v>639</v>
      </c>
      <c r="G81" s="1">
        <v>12</v>
      </c>
      <c r="H81" s="1">
        <v>26</v>
      </c>
      <c r="I81" s="1">
        <v>8680</v>
      </c>
      <c r="J81" s="1">
        <v>5</v>
      </c>
      <c r="K81" s="1">
        <v>3</v>
      </c>
      <c r="L81" s="1">
        <v>0</v>
      </c>
    </row>
    <row r="82" spans="1:12" x14ac:dyDescent="0.25">
      <c r="A82" s="1" t="s">
        <v>51</v>
      </c>
      <c r="B82" s="1" t="s">
        <v>614</v>
      </c>
      <c r="C82" s="1" t="s">
        <v>621</v>
      </c>
      <c r="D82" s="1" t="s">
        <v>638</v>
      </c>
      <c r="E82" s="1">
        <v>40</v>
      </c>
      <c r="F82" s="1" t="s">
        <v>640</v>
      </c>
      <c r="G82" s="1">
        <v>12</v>
      </c>
      <c r="H82" s="1">
        <v>15</v>
      </c>
      <c r="I82" s="1">
        <v>8590</v>
      </c>
      <c r="J82" s="1">
        <v>5</v>
      </c>
      <c r="K82" s="1">
        <v>3</v>
      </c>
      <c r="L82" s="1">
        <v>9</v>
      </c>
    </row>
    <row r="83" spans="1:12" x14ac:dyDescent="0.25">
      <c r="A83" s="1" t="s">
        <v>578</v>
      </c>
      <c r="B83" s="1" t="s">
        <v>615</v>
      </c>
      <c r="C83" s="1" t="s">
        <v>622</v>
      </c>
      <c r="D83" s="1" t="s">
        <v>638</v>
      </c>
      <c r="E83" s="1">
        <v>45</v>
      </c>
      <c r="F83" s="1" t="s">
        <v>640</v>
      </c>
      <c r="G83" s="1">
        <v>12</v>
      </c>
      <c r="H83" s="1">
        <v>19</v>
      </c>
      <c r="I83" s="1">
        <v>7980</v>
      </c>
      <c r="J83" s="1">
        <v>2</v>
      </c>
      <c r="K83" s="1">
        <v>5</v>
      </c>
      <c r="L83" s="1">
        <v>0</v>
      </c>
    </row>
    <row r="84" spans="1:12" x14ac:dyDescent="0.25">
      <c r="A84" s="1" t="s">
        <v>201</v>
      </c>
      <c r="B84" s="1" t="s">
        <v>612</v>
      </c>
      <c r="C84" s="1" t="s">
        <v>618</v>
      </c>
      <c r="D84" s="1" t="s">
        <v>637</v>
      </c>
      <c r="E84" s="1">
        <v>40</v>
      </c>
      <c r="F84" s="1" t="s">
        <v>639</v>
      </c>
      <c r="G84" s="1">
        <v>12</v>
      </c>
      <c r="H84" s="1">
        <v>21</v>
      </c>
      <c r="I84" s="1">
        <v>7950</v>
      </c>
      <c r="J84" s="1">
        <v>3</v>
      </c>
      <c r="K84" s="1">
        <v>3</v>
      </c>
      <c r="L84" s="1">
        <v>5</v>
      </c>
    </row>
    <row r="85" spans="1:12" x14ac:dyDescent="0.25">
      <c r="A85" s="1" t="s">
        <v>423</v>
      </c>
      <c r="B85" s="1" t="s">
        <v>616</v>
      </c>
      <c r="C85" s="1" t="s">
        <v>624</v>
      </c>
      <c r="D85" s="1" t="s">
        <v>637</v>
      </c>
      <c r="E85" s="1">
        <v>42</v>
      </c>
      <c r="F85" s="1" t="s">
        <v>640</v>
      </c>
      <c r="G85" s="1">
        <v>12</v>
      </c>
      <c r="H85" s="1">
        <v>21</v>
      </c>
      <c r="I85" s="1">
        <v>7540</v>
      </c>
      <c r="J85" s="1">
        <v>5</v>
      </c>
      <c r="K85" s="1">
        <v>2</v>
      </c>
      <c r="L85" s="1">
        <v>8</v>
      </c>
    </row>
    <row r="86" spans="1:12" x14ac:dyDescent="0.25">
      <c r="A86" s="1" t="s">
        <v>374</v>
      </c>
      <c r="B86" s="1" t="s">
        <v>617</v>
      </c>
      <c r="C86" s="1" t="s">
        <v>628</v>
      </c>
      <c r="D86" s="1" t="s">
        <v>637</v>
      </c>
      <c r="E86" s="1">
        <v>37</v>
      </c>
      <c r="F86" s="1" t="s">
        <v>640</v>
      </c>
      <c r="G86" s="1">
        <v>12</v>
      </c>
      <c r="H86" s="1">
        <v>16</v>
      </c>
      <c r="I86" s="1">
        <v>7520</v>
      </c>
      <c r="J86" s="1">
        <v>4</v>
      </c>
      <c r="K86" s="1">
        <v>3</v>
      </c>
      <c r="L86" s="1">
        <v>3</v>
      </c>
    </row>
    <row r="87" spans="1:12" x14ac:dyDescent="0.25">
      <c r="A87" s="1" t="s">
        <v>151</v>
      </c>
      <c r="B87" s="1" t="s">
        <v>612</v>
      </c>
      <c r="C87" s="1" t="s">
        <v>619</v>
      </c>
      <c r="D87" s="1" t="s">
        <v>638</v>
      </c>
      <c r="E87" s="1">
        <v>40</v>
      </c>
      <c r="F87" s="1" t="s">
        <v>642</v>
      </c>
      <c r="G87" s="1">
        <v>12</v>
      </c>
      <c r="H87" s="1">
        <v>17</v>
      </c>
      <c r="I87" s="1">
        <v>7480</v>
      </c>
      <c r="J87" s="1">
        <v>3</v>
      </c>
      <c r="K87" s="1">
        <v>2</v>
      </c>
      <c r="L87" s="1">
        <v>11</v>
      </c>
    </row>
    <row r="88" spans="1:12" x14ac:dyDescent="0.25">
      <c r="A88" s="1" t="s">
        <v>195</v>
      </c>
      <c r="B88" s="1" t="s">
        <v>617</v>
      </c>
      <c r="C88" s="1" t="s">
        <v>627</v>
      </c>
      <c r="D88" s="1" t="s">
        <v>638</v>
      </c>
      <c r="E88" s="1">
        <v>42</v>
      </c>
      <c r="F88" s="1" t="s">
        <v>640</v>
      </c>
      <c r="G88" s="1">
        <v>12</v>
      </c>
      <c r="H88" s="1">
        <v>20</v>
      </c>
      <c r="I88" s="1">
        <v>6880</v>
      </c>
      <c r="J88" s="1">
        <v>3</v>
      </c>
      <c r="K88" s="1">
        <v>3</v>
      </c>
      <c r="L88" s="1">
        <v>10</v>
      </c>
    </row>
    <row r="89" spans="1:12" x14ac:dyDescent="0.25">
      <c r="A89" s="1" t="s">
        <v>292</v>
      </c>
      <c r="B89" s="1" t="s">
        <v>617</v>
      </c>
      <c r="C89" s="1" t="s">
        <v>634</v>
      </c>
      <c r="D89" s="1" t="s">
        <v>637</v>
      </c>
      <c r="E89" s="1">
        <v>34</v>
      </c>
      <c r="F89" s="1" t="s">
        <v>639</v>
      </c>
      <c r="G89" s="1">
        <v>12</v>
      </c>
      <c r="H89" s="1">
        <v>13</v>
      </c>
      <c r="I89" s="1">
        <v>5720</v>
      </c>
      <c r="J89" s="1">
        <v>4</v>
      </c>
      <c r="K89" s="1">
        <v>3</v>
      </c>
      <c r="L89" s="1">
        <v>16</v>
      </c>
    </row>
    <row r="90" spans="1:12" x14ac:dyDescent="0.25">
      <c r="A90" s="1" t="s">
        <v>40</v>
      </c>
      <c r="B90" s="1" t="s">
        <v>613</v>
      </c>
      <c r="C90" s="1" t="s">
        <v>623</v>
      </c>
      <c r="D90" s="1" t="s">
        <v>638</v>
      </c>
      <c r="E90" s="1">
        <v>57</v>
      </c>
      <c r="F90" s="1" t="s">
        <v>639</v>
      </c>
      <c r="G90" s="1">
        <v>11</v>
      </c>
      <c r="H90" s="1">
        <v>39</v>
      </c>
      <c r="I90" s="1">
        <v>10510</v>
      </c>
      <c r="J90" s="1">
        <v>2</v>
      </c>
      <c r="K90" s="1">
        <v>3</v>
      </c>
      <c r="L90" s="1">
        <v>12</v>
      </c>
    </row>
    <row r="91" spans="1:12" x14ac:dyDescent="0.25">
      <c r="A91" s="1" t="s">
        <v>157</v>
      </c>
      <c r="B91" s="1" t="s">
        <v>614</v>
      </c>
      <c r="C91" s="1" t="s">
        <v>633</v>
      </c>
      <c r="D91" s="1" t="s">
        <v>638</v>
      </c>
      <c r="E91" s="1">
        <v>52</v>
      </c>
      <c r="F91" s="1" t="s">
        <v>642</v>
      </c>
      <c r="G91" s="1">
        <v>11</v>
      </c>
      <c r="H91" s="1">
        <v>32</v>
      </c>
      <c r="I91" s="1">
        <v>9620</v>
      </c>
      <c r="J91" s="1">
        <v>4</v>
      </c>
      <c r="K91" s="1">
        <v>4</v>
      </c>
      <c r="L91" s="1">
        <v>12</v>
      </c>
    </row>
    <row r="92" spans="1:12" x14ac:dyDescent="0.25">
      <c r="A92" s="1" t="s">
        <v>219</v>
      </c>
      <c r="B92" s="1" t="s">
        <v>617</v>
      </c>
      <c r="C92" s="1" t="s">
        <v>628</v>
      </c>
      <c r="D92" s="1" t="s">
        <v>637</v>
      </c>
      <c r="E92" s="1">
        <v>60</v>
      </c>
      <c r="F92" s="1" t="s">
        <v>639</v>
      </c>
      <c r="G92" s="1">
        <v>11</v>
      </c>
      <c r="H92" s="1">
        <v>33</v>
      </c>
      <c r="I92" s="1">
        <v>9540</v>
      </c>
      <c r="J92" s="1">
        <v>3</v>
      </c>
      <c r="K92" s="1">
        <v>4</v>
      </c>
      <c r="L92" s="1">
        <v>13</v>
      </c>
    </row>
    <row r="93" spans="1:12" x14ac:dyDescent="0.25">
      <c r="A93" s="1" t="s">
        <v>307</v>
      </c>
      <c r="B93" s="1" t="s">
        <v>617</v>
      </c>
      <c r="C93" s="1" t="s">
        <v>634</v>
      </c>
      <c r="D93" s="1" t="s">
        <v>637</v>
      </c>
      <c r="E93" s="1">
        <v>60</v>
      </c>
      <c r="F93" s="1" t="s">
        <v>639</v>
      </c>
      <c r="G93" s="1">
        <v>11</v>
      </c>
      <c r="H93" s="1">
        <v>38</v>
      </c>
      <c r="I93" s="1">
        <v>9460</v>
      </c>
      <c r="J93" s="1">
        <v>4</v>
      </c>
      <c r="K93" s="1">
        <v>4</v>
      </c>
      <c r="L93" s="1">
        <v>12</v>
      </c>
    </row>
    <row r="94" spans="1:12" x14ac:dyDescent="0.25">
      <c r="A94" s="1" t="s">
        <v>92</v>
      </c>
      <c r="B94" s="1" t="s">
        <v>614</v>
      </c>
      <c r="C94" s="1" t="s">
        <v>633</v>
      </c>
      <c r="D94" s="1" t="s">
        <v>637</v>
      </c>
      <c r="E94" s="1">
        <v>49</v>
      </c>
      <c r="F94" s="1" t="s">
        <v>639</v>
      </c>
      <c r="G94" s="1">
        <v>11</v>
      </c>
      <c r="H94" s="1">
        <v>23</v>
      </c>
      <c r="I94" s="1">
        <v>9440</v>
      </c>
      <c r="J94" s="1">
        <v>3</v>
      </c>
      <c r="K94" s="1">
        <v>3</v>
      </c>
      <c r="L94" s="1">
        <v>10</v>
      </c>
    </row>
    <row r="95" spans="1:12" x14ac:dyDescent="0.25">
      <c r="A95" s="1" t="s">
        <v>380</v>
      </c>
      <c r="B95" s="1" t="s">
        <v>615</v>
      </c>
      <c r="C95" s="1" t="s">
        <v>629</v>
      </c>
      <c r="D95" s="1" t="s">
        <v>637</v>
      </c>
      <c r="E95" s="1">
        <v>36</v>
      </c>
      <c r="F95" s="1" t="s">
        <v>640</v>
      </c>
      <c r="G95" s="1">
        <v>11</v>
      </c>
      <c r="H95" s="1">
        <v>16</v>
      </c>
      <c r="I95" s="1">
        <v>9370</v>
      </c>
      <c r="J95" s="1">
        <v>4</v>
      </c>
      <c r="K95" s="1">
        <v>3</v>
      </c>
      <c r="L95" s="1">
        <v>3</v>
      </c>
    </row>
    <row r="96" spans="1:12" x14ac:dyDescent="0.25">
      <c r="A96" s="1" t="s">
        <v>324</v>
      </c>
      <c r="B96" s="1" t="s">
        <v>613</v>
      </c>
      <c r="C96" s="1" t="s">
        <v>620</v>
      </c>
      <c r="D96" s="1" t="s">
        <v>637</v>
      </c>
      <c r="E96" s="1">
        <v>60</v>
      </c>
      <c r="F96" s="1" t="s">
        <v>642</v>
      </c>
      <c r="G96" s="1">
        <v>11</v>
      </c>
      <c r="H96" s="1">
        <v>36</v>
      </c>
      <c r="I96" s="1">
        <v>9150</v>
      </c>
      <c r="J96" s="1">
        <v>3</v>
      </c>
      <c r="K96" s="1">
        <v>4</v>
      </c>
      <c r="L96" s="1">
        <v>20</v>
      </c>
    </row>
    <row r="97" spans="1:12" x14ac:dyDescent="0.25">
      <c r="A97" s="1" t="s">
        <v>34</v>
      </c>
      <c r="B97" s="1" t="s">
        <v>613</v>
      </c>
      <c r="C97" s="1" t="s">
        <v>631</v>
      </c>
      <c r="D97" s="1" t="s">
        <v>638</v>
      </c>
      <c r="E97" s="1">
        <v>48</v>
      </c>
      <c r="F97" s="1" t="s">
        <v>640</v>
      </c>
      <c r="G97" s="1">
        <v>11</v>
      </c>
      <c r="H97" s="1">
        <v>30</v>
      </c>
      <c r="I97" s="1">
        <v>8650</v>
      </c>
      <c r="J97" s="1">
        <v>5</v>
      </c>
      <c r="K97" s="1">
        <v>5</v>
      </c>
      <c r="L97" s="1">
        <v>13</v>
      </c>
    </row>
    <row r="98" spans="1:12" x14ac:dyDescent="0.25">
      <c r="A98" s="1" t="s">
        <v>290</v>
      </c>
      <c r="B98" s="1" t="s">
        <v>616</v>
      </c>
      <c r="C98" s="1" t="s">
        <v>635</v>
      </c>
      <c r="D98" s="1" t="s">
        <v>638</v>
      </c>
      <c r="E98" s="1">
        <v>41</v>
      </c>
      <c r="F98" s="1" t="s">
        <v>639</v>
      </c>
      <c r="G98" s="1">
        <v>11</v>
      </c>
      <c r="H98" s="1">
        <v>13</v>
      </c>
      <c r="I98" s="1">
        <v>8610</v>
      </c>
      <c r="J98" s="1">
        <v>3</v>
      </c>
      <c r="K98" s="1">
        <v>3</v>
      </c>
      <c r="L98" s="1">
        <v>10</v>
      </c>
    </row>
    <row r="99" spans="1:12" x14ac:dyDescent="0.25">
      <c r="A99" s="1" t="s">
        <v>435</v>
      </c>
      <c r="B99" s="1" t="s">
        <v>615</v>
      </c>
      <c r="C99" s="1" t="s">
        <v>622</v>
      </c>
      <c r="D99" s="1" t="s">
        <v>638</v>
      </c>
      <c r="E99" s="1">
        <v>43</v>
      </c>
      <c r="F99" s="1" t="s">
        <v>642</v>
      </c>
      <c r="G99" s="1">
        <v>11</v>
      </c>
      <c r="H99" s="1">
        <v>21</v>
      </c>
      <c r="I99" s="1">
        <v>8520</v>
      </c>
      <c r="J99" s="1">
        <v>3</v>
      </c>
      <c r="K99" s="1">
        <v>5</v>
      </c>
      <c r="L99" s="1">
        <v>0</v>
      </c>
    </row>
    <row r="100" spans="1:12" x14ac:dyDescent="0.25">
      <c r="A100" s="1" t="s">
        <v>495</v>
      </c>
      <c r="B100" s="1" t="s">
        <v>615</v>
      </c>
      <c r="C100" s="1" t="s">
        <v>629</v>
      </c>
      <c r="D100" s="1" t="s">
        <v>637</v>
      </c>
      <c r="E100" s="1">
        <v>40</v>
      </c>
      <c r="F100" s="1" t="s">
        <v>642</v>
      </c>
      <c r="G100" s="1">
        <v>11</v>
      </c>
      <c r="H100" s="1">
        <v>13</v>
      </c>
      <c r="I100" s="1">
        <v>8500</v>
      </c>
      <c r="J100" s="1">
        <v>3</v>
      </c>
      <c r="K100" s="1">
        <v>4</v>
      </c>
      <c r="L100" s="1">
        <v>0</v>
      </c>
    </row>
    <row r="101" spans="1:12" x14ac:dyDescent="0.25">
      <c r="A101" s="1" t="s">
        <v>506</v>
      </c>
      <c r="B101" s="1" t="s">
        <v>617</v>
      </c>
      <c r="C101" s="1" t="s">
        <v>634</v>
      </c>
      <c r="D101" s="1" t="s">
        <v>637</v>
      </c>
      <c r="E101" s="1">
        <v>51</v>
      </c>
      <c r="F101" s="1" t="s">
        <v>642</v>
      </c>
      <c r="G101" s="1">
        <v>11</v>
      </c>
      <c r="H101" s="1">
        <v>27</v>
      </c>
      <c r="I101" s="1">
        <v>8430</v>
      </c>
      <c r="J101" s="1">
        <v>4</v>
      </c>
      <c r="K101" s="1">
        <v>5</v>
      </c>
      <c r="L101" s="1">
        <v>4</v>
      </c>
    </row>
    <row r="102" spans="1:12" x14ac:dyDescent="0.25">
      <c r="A102" s="1" t="s">
        <v>515</v>
      </c>
      <c r="B102" s="1" t="s">
        <v>613</v>
      </c>
      <c r="C102" s="1" t="s">
        <v>623</v>
      </c>
      <c r="D102" s="1" t="s">
        <v>637</v>
      </c>
      <c r="E102" s="1">
        <v>43</v>
      </c>
      <c r="F102" s="1" t="s">
        <v>640</v>
      </c>
      <c r="G102" s="1">
        <v>11</v>
      </c>
      <c r="H102" s="1">
        <v>16</v>
      </c>
      <c r="I102" s="1">
        <v>8340</v>
      </c>
      <c r="J102" s="1">
        <v>5</v>
      </c>
      <c r="K102" s="1">
        <v>4</v>
      </c>
      <c r="L102" s="1">
        <v>5</v>
      </c>
    </row>
    <row r="103" spans="1:12" x14ac:dyDescent="0.25">
      <c r="A103" s="1" t="s">
        <v>27</v>
      </c>
      <c r="B103" s="1" t="s">
        <v>617</v>
      </c>
      <c r="C103" s="1" t="s">
        <v>628</v>
      </c>
      <c r="D103" s="1" t="s">
        <v>637</v>
      </c>
      <c r="E103" s="1">
        <v>36</v>
      </c>
      <c r="F103" s="1" t="s">
        <v>639</v>
      </c>
      <c r="G103" s="1">
        <v>11</v>
      </c>
      <c r="H103" s="1">
        <v>14</v>
      </c>
      <c r="I103" s="1">
        <v>8320</v>
      </c>
      <c r="J103" s="1">
        <v>3</v>
      </c>
      <c r="K103" s="1">
        <v>3</v>
      </c>
      <c r="L103" s="1">
        <v>13</v>
      </c>
    </row>
    <row r="104" spans="1:12" x14ac:dyDescent="0.25">
      <c r="A104" s="1" t="s">
        <v>335</v>
      </c>
      <c r="B104" s="1" t="s">
        <v>616</v>
      </c>
      <c r="C104" s="1" t="s">
        <v>624</v>
      </c>
      <c r="D104" s="1" t="s">
        <v>637</v>
      </c>
      <c r="E104" s="1">
        <v>52</v>
      </c>
      <c r="F104" s="1" t="s">
        <v>640</v>
      </c>
      <c r="G104" s="1">
        <v>11</v>
      </c>
      <c r="H104" s="1">
        <v>27</v>
      </c>
      <c r="I104" s="1">
        <v>8150</v>
      </c>
      <c r="J104" s="1">
        <v>4</v>
      </c>
      <c r="K104" s="1">
        <v>3</v>
      </c>
      <c r="L104" s="1">
        <v>21</v>
      </c>
    </row>
    <row r="105" spans="1:12" x14ac:dyDescent="0.25">
      <c r="A105" s="1" t="s">
        <v>538</v>
      </c>
      <c r="B105" s="1" t="s">
        <v>612</v>
      </c>
      <c r="C105" s="1" t="s">
        <v>619</v>
      </c>
      <c r="D105" s="1" t="s">
        <v>637</v>
      </c>
      <c r="E105" s="1">
        <v>45</v>
      </c>
      <c r="F105" s="1" t="s">
        <v>640</v>
      </c>
      <c r="G105" s="1">
        <v>11</v>
      </c>
      <c r="H105" s="1">
        <v>24</v>
      </c>
      <c r="I105" s="1">
        <v>8090</v>
      </c>
      <c r="J105" s="1">
        <v>2</v>
      </c>
      <c r="K105" s="1">
        <v>3</v>
      </c>
      <c r="L105" s="1">
        <v>9</v>
      </c>
    </row>
    <row r="106" spans="1:12" x14ac:dyDescent="0.25">
      <c r="A106" s="1" t="s">
        <v>236</v>
      </c>
      <c r="B106" s="1" t="s">
        <v>613</v>
      </c>
      <c r="C106" s="1" t="s">
        <v>631</v>
      </c>
      <c r="D106" s="1" t="s">
        <v>638</v>
      </c>
      <c r="E106" s="1">
        <v>38</v>
      </c>
      <c r="F106" s="1" t="s">
        <v>639</v>
      </c>
      <c r="G106" s="1">
        <v>11</v>
      </c>
      <c r="H106" s="1">
        <v>20</v>
      </c>
      <c r="I106" s="1">
        <v>7990</v>
      </c>
      <c r="J106" s="1">
        <v>3</v>
      </c>
      <c r="K106" s="1">
        <v>3</v>
      </c>
      <c r="L106" s="1">
        <v>12</v>
      </c>
    </row>
    <row r="107" spans="1:12" x14ac:dyDescent="0.25">
      <c r="A107" s="1" t="s">
        <v>216</v>
      </c>
      <c r="B107" s="1" t="s">
        <v>613</v>
      </c>
      <c r="C107" s="1" t="s">
        <v>620</v>
      </c>
      <c r="D107" s="1" t="s">
        <v>637</v>
      </c>
      <c r="E107" s="1">
        <v>47</v>
      </c>
      <c r="F107" s="1" t="s">
        <v>640</v>
      </c>
      <c r="G107" s="1">
        <v>11</v>
      </c>
      <c r="H107" s="1">
        <v>18</v>
      </c>
      <c r="I107" s="1">
        <v>7810</v>
      </c>
      <c r="J107" s="1">
        <v>3</v>
      </c>
      <c r="K107" s="1">
        <v>3</v>
      </c>
      <c r="L107" s="1">
        <v>9</v>
      </c>
    </row>
    <row r="108" spans="1:12" x14ac:dyDescent="0.25">
      <c r="A108" s="1" t="s">
        <v>170</v>
      </c>
      <c r="B108" s="1" t="s">
        <v>617</v>
      </c>
      <c r="C108" s="1" t="s">
        <v>634</v>
      </c>
      <c r="D108" s="1" t="s">
        <v>637</v>
      </c>
      <c r="E108" s="1">
        <v>43</v>
      </c>
      <c r="F108" s="1" t="s">
        <v>642</v>
      </c>
      <c r="G108" s="1">
        <v>11</v>
      </c>
      <c r="H108" s="1">
        <v>23</v>
      </c>
      <c r="I108" s="1">
        <v>7780</v>
      </c>
      <c r="J108" s="1">
        <v>4</v>
      </c>
      <c r="K108" s="1">
        <v>2</v>
      </c>
      <c r="L108" s="1">
        <v>13</v>
      </c>
    </row>
    <row r="109" spans="1:12" x14ac:dyDescent="0.25">
      <c r="A109" s="1" t="s">
        <v>401</v>
      </c>
      <c r="B109" s="1" t="s">
        <v>617</v>
      </c>
      <c r="C109" s="1" t="s">
        <v>627</v>
      </c>
      <c r="D109" s="1" t="s">
        <v>637</v>
      </c>
      <c r="E109" s="1">
        <v>46</v>
      </c>
      <c r="F109" s="1" t="s">
        <v>639</v>
      </c>
      <c r="G109" s="1">
        <v>11</v>
      </c>
      <c r="H109" s="1">
        <v>19</v>
      </c>
      <c r="I109" s="1">
        <v>7690</v>
      </c>
      <c r="J109" s="1">
        <v>3</v>
      </c>
      <c r="K109" s="1">
        <v>3</v>
      </c>
      <c r="L109" s="1">
        <v>3</v>
      </c>
    </row>
    <row r="110" spans="1:12" x14ac:dyDescent="0.25">
      <c r="A110" s="1" t="s">
        <v>235</v>
      </c>
      <c r="B110" s="1" t="s">
        <v>612</v>
      </c>
      <c r="C110" s="1" t="s">
        <v>619</v>
      </c>
      <c r="D110" s="1" t="s">
        <v>637</v>
      </c>
      <c r="E110" s="1">
        <v>32</v>
      </c>
      <c r="F110" s="1" t="s">
        <v>641</v>
      </c>
      <c r="G110" s="1">
        <v>11</v>
      </c>
      <c r="H110" s="1">
        <v>13</v>
      </c>
      <c r="I110" s="1">
        <v>7660</v>
      </c>
      <c r="J110" s="1">
        <v>3</v>
      </c>
      <c r="K110" s="1">
        <v>4</v>
      </c>
      <c r="L110" s="1">
        <v>14</v>
      </c>
    </row>
    <row r="111" spans="1:12" x14ac:dyDescent="0.25">
      <c r="A111" s="1" t="s">
        <v>428</v>
      </c>
      <c r="B111" s="1" t="s">
        <v>617</v>
      </c>
      <c r="C111" s="1" t="s">
        <v>634</v>
      </c>
      <c r="D111" s="1" t="s">
        <v>637</v>
      </c>
      <c r="E111" s="1">
        <v>43</v>
      </c>
      <c r="F111" s="1" t="s">
        <v>639</v>
      </c>
      <c r="G111" s="1">
        <v>11</v>
      </c>
      <c r="H111" s="1">
        <v>16</v>
      </c>
      <c r="I111" s="1">
        <v>7480</v>
      </c>
      <c r="J111" s="1">
        <v>3</v>
      </c>
      <c r="K111" s="1">
        <v>2</v>
      </c>
      <c r="L111" s="1">
        <v>6</v>
      </c>
    </row>
    <row r="112" spans="1:12" x14ac:dyDescent="0.25">
      <c r="A112" s="1" t="s">
        <v>202</v>
      </c>
      <c r="B112" s="1" t="s">
        <v>615</v>
      </c>
      <c r="C112" s="1" t="s">
        <v>622</v>
      </c>
      <c r="D112" s="1" t="s">
        <v>637</v>
      </c>
      <c r="E112" s="1">
        <v>38</v>
      </c>
      <c r="F112" s="1" t="s">
        <v>639</v>
      </c>
      <c r="G112" s="1">
        <v>11</v>
      </c>
      <c r="H112" s="1">
        <v>17</v>
      </c>
      <c r="I112" s="1">
        <v>7360</v>
      </c>
      <c r="J112" s="1">
        <v>4</v>
      </c>
      <c r="K112" s="1">
        <v>4</v>
      </c>
      <c r="L112" s="1">
        <v>13</v>
      </c>
    </row>
    <row r="113" spans="1:12" x14ac:dyDescent="0.25">
      <c r="A113" s="1" t="s">
        <v>502</v>
      </c>
      <c r="B113" s="1" t="s">
        <v>615</v>
      </c>
      <c r="C113" s="1" t="s">
        <v>622</v>
      </c>
      <c r="D113" s="1" t="s">
        <v>638</v>
      </c>
      <c r="E113" s="1">
        <v>36</v>
      </c>
      <c r="F113" s="1" t="s">
        <v>639</v>
      </c>
      <c r="G113" s="1">
        <v>11</v>
      </c>
      <c r="H113" s="1">
        <v>13</v>
      </c>
      <c r="I113" s="1">
        <v>7250</v>
      </c>
      <c r="J113" s="1">
        <v>4</v>
      </c>
      <c r="K113" s="1">
        <v>4</v>
      </c>
      <c r="L113" s="1">
        <v>5</v>
      </c>
    </row>
    <row r="114" spans="1:12" x14ac:dyDescent="0.25">
      <c r="A114" s="1" t="s">
        <v>346</v>
      </c>
      <c r="B114" s="1" t="s">
        <v>613</v>
      </c>
      <c r="C114" s="1" t="s">
        <v>620</v>
      </c>
      <c r="D114" s="1" t="s">
        <v>637</v>
      </c>
      <c r="E114" s="1">
        <v>41</v>
      </c>
      <c r="F114" s="1" t="s">
        <v>642</v>
      </c>
      <c r="G114" s="1">
        <v>11</v>
      </c>
      <c r="H114" s="1">
        <v>21</v>
      </c>
      <c r="I114" s="1">
        <v>7080</v>
      </c>
      <c r="J114" s="1">
        <v>5</v>
      </c>
      <c r="K114" s="1">
        <v>5</v>
      </c>
      <c r="L114" s="1">
        <v>18</v>
      </c>
    </row>
    <row r="115" spans="1:12" x14ac:dyDescent="0.25">
      <c r="A115" s="1" t="s">
        <v>288</v>
      </c>
      <c r="B115" s="1" t="s">
        <v>613</v>
      </c>
      <c r="C115" s="1" t="s">
        <v>620</v>
      </c>
      <c r="D115" s="1" t="s">
        <v>638</v>
      </c>
      <c r="E115" s="1">
        <v>38</v>
      </c>
      <c r="F115" s="1" t="s">
        <v>640</v>
      </c>
      <c r="G115" s="1">
        <v>11</v>
      </c>
      <c r="H115" s="1">
        <v>14</v>
      </c>
      <c r="I115" s="1">
        <v>6940</v>
      </c>
      <c r="J115" s="1">
        <v>5</v>
      </c>
      <c r="K115" s="1">
        <v>4</v>
      </c>
      <c r="L115" s="1">
        <v>14</v>
      </c>
    </row>
    <row r="116" spans="1:12" x14ac:dyDescent="0.25">
      <c r="A116" s="1" t="s">
        <v>140</v>
      </c>
      <c r="B116" s="1" t="s">
        <v>615</v>
      </c>
      <c r="C116" s="1" t="s">
        <v>622</v>
      </c>
      <c r="D116" s="1" t="s">
        <v>638</v>
      </c>
      <c r="E116" s="1">
        <v>31</v>
      </c>
      <c r="F116" s="1" t="s">
        <v>639</v>
      </c>
      <c r="G116" s="1">
        <v>11</v>
      </c>
      <c r="H116" s="1">
        <v>13</v>
      </c>
      <c r="I116" s="1">
        <v>6900</v>
      </c>
      <c r="J116" s="1">
        <v>4</v>
      </c>
      <c r="K116" s="1">
        <v>4</v>
      </c>
      <c r="L116" s="1">
        <v>6</v>
      </c>
    </row>
    <row r="117" spans="1:12" x14ac:dyDescent="0.25">
      <c r="A117" s="1" t="s">
        <v>136</v>
      </c>
      <c r="B117" s="1" t="s">
        <v>617</v>
      </c>
      <c r="C117" s="1" t="s">
        <v>634</v>
      </c>
      <c r="D117" s="1" t="s">
        <v>637</v>
      </c>
      <c r="E117" s="1">
        <v>44</v>
      </c>
      <c r="F117" s="1" t="s">
        <v>641</v>
      </c>
      <c r="G117" s="1">
        <v>11</v>
      </c>
      <c r="H117" s="1">
        <v>14</v>
      </c>
      <c r="I117" s="1">
        <v>6730</v>
      </c>
      <c r="J117" s="1">
        <v>4</v>
      </c>
      <c r="K117" s="1">
        <v>4</v>
      </c>
      <c r="L117" s="1">
        <v>2</v>
      </c>
    </row>
    <row r="118" spans="1:12" x14ac:dyDescent="0.25">
      <c r="A118" s="1" t="s">
        <v>441</v>
      </c>
      <c r="B118" s="1" t="s">
        <v>617</v>
      </c>
      <c r="C118" s="1" t="s">
        <v>628</v>
      </c>
      <c r="D118" s="1" t="s">
        <v>637</v>
      </c>
      <c r="E118" s="1">
        <v>30</v>
      </c>
      <c r="F118" s="1" t="s">
        <v>639</v>
      </c>
      <c r="G118" s="1">
        <v>11</v>
      </c>
      <c r="H118" s="1">
        <v>11</v>
      </c>
      <c r="I118" s="1">
        <v>6140</v>
      </c>
      <c r="J118" s="1">
        <v>3</v>
      </c>
      <c r="K118" s="1">
        <v>4</v>
      </c>
      <c r="L118" s="1">
        <v>24</v>
      </c>
    </row>
    <row r="119" spans="1:12" x14ac:dyDescent="0.25">
      <c r="A119" s="1" t="s">
        <v>364</v>
      </c>
      <c r="B119" s="1" t="s">
        <v>617</v>
      </c>
      <c r="C119" s="1" t="s">
        <v>627</v>
      </c>
      <c r="D119" s="1" t="s">
        <v>638</v>
      </c>
      <c r="E119" s="1">
        <v>38</v>
      </c>
      <c r="F119" s="1" t="s">
        <v>640</v>
      </c>
      <c r="G119" s="1">
        <v>11</v>
      </c>
      <c r="H119" s="1">
        <v>11</v>
      </c>
      <c r="I119" s="1">
        <v>6000</v>
      </c>
      <c r="J119" s="1">
        <v>4</v>
      </c>
      <c r="K119" s="1">
        <v>2</v>
      </c>
      <c r="L119" s="1">
        <v>12</v>
      </c>
    </row>
    <row r="120" spans="1:12" x14ac:dyDescent="0.25">
      <c r="A120" s="1" t="s">
        <v>91</v>
      </c>
      <c r="B120" s="1" t="s">
        <v>615</v>
      </c>
      <c r="C120" s="1" t="s">
        <v>629</v>
      </c>
      <c r="D120" s="1" t="s">
        <v>637</v>
      </c>
      <c r="E120" s="1">
        <v>54</v>
      </c>
      <c r="F120" s="1" t="s">
        <v>639</v>
      </c>
      <c r="G120" s="1">
        <v>10</v>
      </c>
      <c r="H120" s="1">
        <v>34</v>
      </c>
      <c r="I120" s="1">
        <v>10720</v>
      </c>
      <c r="J120" s="1">
        <v>3</v>
      </c>
      <c r="K120" s="1">
        <v>3</v>
      </c>
      <c r="L120" s="1">
        <v>8</v>
      </c>
    </row>
    <row r="121" spans="1:12" x14ac:dyDescent="0.25">
      <c r="A121" s="1" t="s">
        <v>241</v>
      </c>
      <c r="B121" s="1" t="s">
        <v>616</v>
      </c>
      <c r="C121" s="1" t="s">
        <v>635</v>
      </c>
      <c r="D121" s="1" t="s">
        <v>637</v>
      </c>
      <c r="E121" s="1">
        <v>59</v>
      </c>
      <c r="F121" s="1" t="s">
        <v>642</v>
      </c>
      <c r="G121" s="1">
        <v>10</v>
      </c>
      <c r="H121" s="1">
        <v>33</v>
      </c>
      <c r="I121" s="1">
        <v>10440</v>
      </c>
      <c r="J121" s="1">
        <v>2</v>
      </c>
      <c r="K121" s="1">
        <v>4</v>
      </c>
      <c r="L121" s="1">
        <v>14</v>
      </c>
    </row>
    <row r="122" spans="1:12" x14ac:dyDescent="0.25">
      <c r="A122" s="1" t="s">
        <v>484</v>
      </c>
      <c r="B122" s="1" t="s">
        <v>615</v>
      </c>
      <c r="C122" s="1" t="s">
        <v>625</v>
      </c>
      <c r="D122" s="1" t="s">
        <v>637</v>
      </c>
      <c r="E122" s="1">
        <v>56</v>
      </c>
      <c r="F122" s="1" t="s">
        <v>640</v>
      </c>
      <c r="G122" s="1">
        <v>10</v>
      </c>
      <c r="H122" s="1">
        <v>34</v>
      </c>
      <c r="I122" s="1">
        <v>9820</v>
      </c>
      <c r="J122" s="1">
        <v>3</v>
      </c>
      <c r="K122" s="1">
        <v>3</v>
      </c>
      <c r="L122" s="1">
        <v>4</v>
      </c>
    </row>
    <row r="123" spans="1:12" x14ac:dyDescent="0.25">
      <c r="A123" s="1" t="s">
        <v>418</v>
      </c>
      <c r="B123" s="1" t="s">
        <v>612</v>
      </c>
      <c r="C123" s="1" t="s">
        <v>618</v>
      </c>
      <c r="D123" s="1" t="s">
        <v>638</v>
      </c>
      <c r="E123" s="1">
        <v>54</v>
      </c>
      <c r="F123" s="1" t="s">
        <v>639</v>
      </c>
      <c r="G123" s="1">
        <v>10</v>
      </c>
      <c r="H123" s="1">
        <v>32</v>
      </c>
      <c r="I123" s="1">
        <v>9360</v>
      </c>
      <c r="J123" s="1">
        <v>2</v>
      </c>
      <c r="K123" s="1">
        <v>1</v>
      </c>
      <c r="L123" s="1">
        <v>15</v>
      </c>
    </row>
    <row r="124" spans="1:12" x14ac:dyDescent="0.25">
      <c r="A124" s="1" t="s">
        <v>527</v>
      </c>
      <c r="B124" s="1" t="s">
        <v>613</v>
      </c>
      <c r="C124" s="1" t="s">
        <v>623</v>
      </c>
      <c r="D124" s="1" t="s">
        <v>638</v>
      </c>
      <c r="E124" s="1">
        <v>51</v>
      </c>
      <c r="F124" s="1" t="s">
        <v>639</v>
      </c>
      <c r="G124" s="1">
        <v>10</v>
      </c>
      <c r="H124" s="1">
        <v>24</v>
      </c>
      <c r="I124" s="1">
        <v>9270</v>
      </c>
      <c r="J124" s="1">
        <v>3</v>
      </c>
      <c r="K124" s="1">
        <v>4</v>
      </c>
      <c r="L124" s="1">
        <v>13</v>
      </c>
    </row>
    <row r="125" spans="1:12" x14ac:dyDescent="0.25">
      <c r="A125" s="1" t="s">
        <v>52</v>
      </c>
      <c r="B125" s="1" t="s">
        <v>616</v>
      </c>
      <c r="C125" s="1" t="s">
        <v>624</v>
      </c>
      <c r="D125" s="1" t="s">
        <v>637</v>
      </c>
      <c r="E125" s="1">
        <v>55</v>
      </c>
      <c r="F125" s="1" t="s">
        <v>639</v>
      </c>
      <c r="G125" s="1">
        <v>10</v>
      </c>
      <c r="H125" s="1">
        <v>28</v>
      </c>
      <c r="I125" s="1">
        <v>9190</v>
      </c>
      <c r="J125" s="1">
        <v>5</v>
      </c>
      <c r="K125" s="1">
        <v>4</v>
      </c>
      <c r="L125" s="1">
        <v>13</v>
      </c>
    </row>
    <row r="126" spans="1:12" x14ac:dyDescent="0.25">
      <c r="A126" s="1" t="s">
        <v>112</v>
      </c>
      <c r="B126" s="1" t="s">
        <v>612</v>
      </c>
      <c r="C126" s="1" t="s">
        <v>618</v>
      </c>
      <c r="D126" s="1" t="s">
        <v>638</v>
      </c>
      <c r="E126" s="1">
        <v>54</v>
      </c>
      <c r="F126" s="1" t="s">
        <v>639</v>
      </c>
      <c r="G126" s="1">
        <v>10</v>
      </c>
      <c r="H126" s="1">
        <v>34</v>
      </c>
      <c r="I126" s="1">
        <v>9010</v>
      </c>
      <c r="J126" s="1">
        <v>3</v>
      </c>
      <c r="K126" s="1">
        <v>3</v>
      </c>
      <c r="L126" s="1">
        <v>11</v>
      </c>
    </row>
    <row r="127" spans="1:12" x14ac:dyDescent="0.25">
      <c r="A127" s="1" t="s">
        <v>121</v>
      </c>
      <c r="B127" s="1" t="s">
        <v>614</v>
      </c>
      <c r="C127" s="1" t="s">
        <v>626</v>
      </c>
      <c r="D127" s="1" t="s">
        <v>637</v>
      </c>
      <c r="E127" s="1">
        <v>60</v>
      </c>
      <c r="F127" s="1" t="s">
        <v>642</v>
      </c>
      <c r="G127" s="1">
        <v>10</v>
      </c>
      <c r="H127" s="1">
        <v>34</v>
      </c>
      <c r="I127" s="1">
        <v>8970</v>
      </c>
      <c r="J127" s="1">
        <v>3</v>
      </c>
      <c r="K127" s="1">
        <v>4</v>
      </c>
      <c r="L127" s="1">
        <v>1</v>
      </c>
    </row>
    <row r="128" spans="1:12" x14ac:dyDescent="0.25">
      <c r="A128" s="1" t="s">
        <v>385</v>
      </c>
      <c r="B128" s="1" t="s">
        <v>617</v>
      </c>
      <c r="C128" s="1" t="s">
        <v>627</v>
      </c>
      <c r="D128" s="1" t="s">
        <v>638</v>
      </c>
      <c r="E128" s="1">
        <v>58</v>
      </c>
      <c r="F128" s="1" t="s">
        <v>639</v>
      </c>
      <c r="G128" s="1">
        <v>10</v>
      </c>
      <c r="H128" s="1">
        <v>32</v>
      </c>
      <c r="I128" s="1">
        <v>8830</v>
      </c>
      <c r="J128" s="1">
        <v>2</v>
      </c>
      <c r="K128" s="1">
        <v>2</v>
      </c>
      <c r="L128" s="1">
        <v>25</v>
      </c>
    </row>
    <row r="129" spans="1:12" x14ac:dyDescent="0.25">
      <c r="A129" s="1" t="s">
        <v>129</v>
      </c>
      <c r="B129" s="1" t="s">
        <v>616</v>
      </c>
      <c r="C129" s="1" t="s">
        <v>636</v>
      </c>
      <c r="D129" s="1" t="s">
        <v>638</v>
      </c>
      <c r="E129" s="1">
        <v>53</v>
      </c>
      <c r="F129" s="1" t="s">
        <v>640</v>
      </c>
      <c r="G129" s="1">
        <v>10</v>
      </c>
      <c r="H129" s="1">
        <v>28</v>
      </c>
      <c r="I129" s="1">
        <v>8630</v>
      </c>
      <c r="J129" s="1">
        <v>5</v>
      </c>
      <c r="K129" s="1">
        <v>3</v>
      </c>
      <c r="L129" s="1">
        <v>7</v>
      </c>
    </row>
    <row r="130" spans="1:12" x14ac:dyDescent="0.25">
      <c r="A130" s="1" t="s">
        <v>310</v>
      </c>
      <c r="B130" s="1" t="s">
        <v>614</v>
      </c>
      <c r="C130" s="1" t="s">
        <v>621</v>
      </c>
      <c r="D130" s="1" t="s">
        <v>638</v>
      </c>
      <c r="E130" s="1">
        <v>39</v>
      </c>
      <c r="F130" s="1" t="s">
        <v>642</v>
      </c>
      <c r="G130" s="1">
        <v>10</v>
      </c>
      <c r="H130" s="1">
        <v>16</v>
      </c>
      <c r="I130" s="1">
        <v>8630</v>
      </c>
      <c r="J130" s="1">
        <v>4</v>
      </c>
      <c r="K130" s="1">
        <v>4</v>
      </c>
      <c r="L130" s="1">
        <v>9</v>
      </c>
    </row>
    <row r="131" spans="1:12" x14ac:dyDescent="0.25">
      <c r="A131" s="1" t="s">
        <v>454</v>
      </c>
      <c r="B131" s="1" t="s">
        <v>617</v>
      </c>
      <c r="C131" s="1" t="s">
        <v>627</v>
      </c>
      <c r="D131" s="1" t="s">
        <v>638</v>
      </c>
      <c r="E131" s="1">
        <v>58</v>
      </c>
      <c r="F131" s="1" t="s">
        <v>639</v>
      </c>
      <c r="G131" s="1">
        <v>10</v>
      </c>
      <c r="H131" s="1">
        <v>35</v>
      </c>
      <c r="I131" s="1">
        <v>8500</v>
      </c>
      <c r="J131" s="1">
        <v>4</v>
      </c>
      <c r="K131" s="1">
        <v>3</v>
      </c>
      <c r="L131" s="1">
        <v>10</v>
      </c>
    </row>
    <row r="132" spans="1:12" x14ac:dyDescent="0.25">
      <c r="A132" s="1" t="s">
        <v>348</v>
      </c>
      <c r="B132" s="1" t="s">
        <v>617</v>
      </c>
      <c r="C132" s="1" t="s">
        <v>627</v>
      </c>
      <c r="D132" s="1" t="s">
        <v>638</v>
      </c>
      <c r="E132" s="1">
        <v>51</v>
      </c>
      <c r="F132" s="1" t="s">
        <v>639</v>
      </c>
      <c r="G132" s="1">
        <v>10</v>
      </c>
      <c r="H132" s="1">
        <v>31</v>
      </c>
      <c r="I132" s="1">
        <v>8460</v>
      </c>
      <c r="J132" s="1">
        <v>2</v>
      </c>
      <c r="K132" s="1">
        <v>1</v>
      </c>
      <c r="L132" s="1">
        <v>6</v>
      </c>
    </row>
    <row r="133" spans="1:12" x14ac:dyDescent="0.25">
      <c r="A133" s="1" t="s">
        <v>293</v>
      </c>
      <c r="B133" s="1" t="s">
        <v>615</v>
      </c>
      <c r="C133" s="1" t="s">
        <v>625</v>
      </c>
      <c r="D133" s="1" t="s">
        <v>638</v>
      </c>
      <c r="E133" s="1">
        <v>40</v>
      </c>
      <c r="F133" s="1" t="s">
        <v>639</v>
      </c>
      <c r="G133" s="1">
        <v>10</v>
      </c>
      <c r="H133" s="1">
        <v>16</v>
      </c>
      <c r="I133" s="1">
        <v>8270</v>
      </c>
      <c r="J133" s="1">
        <v>3</v>
      </c>
      <c r="K133" s="1">
        <v>5</v>
      </c>
      <c r="L133" s="1">
        <v>9</v>
      </c>
    </row>
    <row r="134" spans="1:12" x14ac:dyDescent="0.25">
      <c r="A134" s="1" t="s">
        <v>586</v>
      </c>
      <c r="B134" s="1" t="s">
        <v>617</v>
      </c>
      <c r="C134" s="1" t="s">
        <v>628</v>
      </c>
      <c r="D134" s="1" t="s">
        <v>638</v>
      </c>
      <c r="E134" s="1">
        <v>47</v>
      </c>
      <c r="F134" s="1" t="s">
        <v>639</v>
      </c>
      <c r="G134" s="1">
        <v>10</v>
      </c>
      <c r="H134" s="1">
        <v>19</v>
      </c>
      <c r="I134" s="1">
        <v>8270</v>
      </c>
      <c r="J134" s="1">
        <v>3</v>
      </c>
      <c r="K134" s="1">
        <v>4</v>
      </c>
      <c r="L134" s="1">
        <v>10</v>
      </c>
    </row>
    <row r="135" spans="1:12" x14ac:dyDescent="0.25">
      <c r="A135" s="1" t="s">
        <v>319</v>
      </c>
      <c r="B135" s="1" t="s">
        <v>612</v>
      </c>
      <c r="C135" s="1" t="s">
        <v>630</v>
      </c>
      <c r="D135" s="1" t="s">
        <v>637</v>
      </c>
      <c r="E135" s="1">
        <v>35</v>
      </c>
      <c r="F135" s="1" t="s">
        <v>640</v>
      </c>
      <c r="G135" s="1">
        <v>10</v>
      </c>
      <c r="H135" s="1">
        <v>14</v>
      </c>
      <c r="I135" s="1">
        <v>8150</v>
      </c>
      <c r="J135" s="1">
        <v>4</v>
      </c>
      <c r="K135" s="1">
        <v>4</v>
      </c>
      <c r="L135" s="1">
        <v>9</v>
      </c>
    </row>
    <row r="136" spans="1:12" x14ac:dyDescent="0.25">
      <c r="A136" s="1" t="s">
        <v>176</v>
      </c>
      <c r="B136" s="1" t="s">
        <v>614</v>
      </c>
      <c r="C136" s="1" t="s">
        <v>626</v>
      </c>
      <c r="D136" s="1" t="s">
        <v>638</v>
      </c>
      <c r="E136" s="1">
        <v>41</v>
      </c>
      <c r="F136" s="1" t="s">
        <v>640</v>
      </c>
      <c r="G136" s="1">
        <v>10</v>
      </c>
      <c r="H136" s="1">
        <v>18</v>
      </c>
      <c r="I136" s="1">
        <v>8090</v>
      </c>
      <c r="J136" s="1">
        <v>4</v>
      </c>
      <c r="K136" s="1">
        <v>4</v>
      </c>
      <c r="L136" s="1">
        <v>10</v>
      </c>
    </row>
    <row r="137" spans="1:12" x14ac:dyDescent="0.25">
      <c r="A137" s="1" t="s">
        <v>231</v>
      </c>
      <c r="B137" s="1" t="s">
        <v>617</v>
      </c>
      <c r="C137" s="1" t="s">
        <v>634</v>
      </c>
      <c r="D137" s="1" t="s">
        <v>638</v>
      </c>
      <c r="E137" s="1">
        <v>50</v>
      </c>
      <c r="F137" s="1" t="s">
        <v>640</v>
      </c>
      <c r="G137" s="1">
        <v>10</v>
      </c>
      <c r="H137" s="1">
        <v>23</v>
      </c>
      <c r="I137" s="1">
        <v>7840</v>
      </c>
      <c r="J137" s="1">
        <v>4</v>
      </c>
      <c r="K137" s="1">
        <v>5</v>
      </c>
      <c r="L137" s="1">
        <v>16</v>
      </c>
    </row>
    <row r="138" spans="1:12" x14ac:dyDescent="0.25">
      <c r="A138" s="1" t="s">
        <v>433</v>
      </c>
      <c r="B138" s="1" t="s">
        <v>613</v>
      </c>
      <c r="C138" s="1" t="s">
        <v>631</v>
      </c>
      <c r="D138" s="1" t="s">
        <v>638</v>
      </c>
      <c r="E138" s="1">
        <v>38</v>
      </c>
      <c r="F138" s="1" t="s">
        <v>639</v>
      </c>
      <c r="G138" s="1">
        <v>10</v>
      </c>
      <c r="H138" s="1">
        <v>16</v>
      </c>
      <c r="I138" s="1">
        <v>7800</v>
      </c>
      <c r="J138" s="1">
        <v>3</v>
      </c>
      <c r="K138" s="1">
        <v>3</v>
      </c>
      <c r="L138" s="1">
        <v>27</v>
      </c>
    </row>
    <row r="139" spans="1:12" x14ac:dyDescent="0.25">
      <c r="A139" s="1" t="s">
        <v>130</v>
      </c>
      <c r="B139" s="1" t="s">
        <v>614</v>
      </c>
      <c r="C139" s="1" t="s">
        <v>626</v>
      </c>
      <c r="D139" s="1" t="s">
        <v>638</v>
      </c>
      <c r="E139" s="1">
        <v>35</v>
      </c>
      <c r="F139" s="1" t="s">
        <v>639</v>
      </c>
      <c r="G139" s="1">
        <v>10</v>
      </c>
      <c r="H139" s="1">
        <v>11</v>
      </c>
      <c r="I139" s="1">
        <v>7430</v>
      </c>
      <c r="J139" s="1">
        <v>4</v>
      </c>
      <c r="K139" s="1">
        <v>3</v>
      </c>
      <c r="L139" s="1">
        <v>6</v>
      </c>
    </row>
    <row r="140" spans="1:12" x14ac:dyDescent="0.25">
      <c r="A140" s="1" t="s">
        <v>282</v>
      </c>
      <c r="B140" s="1" t="s">
        <v>616</v>
      </c>
      <c r="C140" s="1" t="s">
        <v>635</v>
      </c>
      <c r="D140" s="1" t="s">
        <v>637</v>
      </c>
      <c r="E140" s="1">
        <v>54</v>
      </c>
      <c r="F140" s="1" t="s">
        <v>639</v>
      </c>
      <c r="G140" s="1">
        <v>9</v>
      </c>
      <c r="H140" s="1">
        <v>29</v>
      </c>
      <c r="I140" s="1">
        <v>10560</v>
      </c>
      <c r="J140" s="1">
        <v>4</v>
      </c>
      <c r="K140" s="1">
        <v>3</v>
      </c>
      <c r="L140" s="1">
        <v>13</v>
      </c>
    </row>
    <row r="141" spans="1:12" x14ac:dyDescent="0.25">
      <c r="A141" s="1" t="s">
        <v>440</v>
      </c>
      <c r="B141" s="1" t="s">
        <v>616</v>
      </c>
      <c r="C141" s="1" t="s">
        <v>635</v>
      </c>
      <c r="D141" s="1" t="s">
        <v>638</v>
      </c>
      <c r="E141" s="1">
        <v>52</v>
      </c>
      <c r="F141" s="1" t="s">
        <v>639</v>
      </c>
      <c r="G141" s="1">
        <v>9</v>
      </c>
      <c r="H141" s="1">
        <v>30</v>
      </c>
      <c r="I141" s="1">
        <v>9690</v>
      </c>
      <c r="J141" s="1">
        <v>3</v>
      </c>
      <c r="K141" s="1">
        <v>4</v>
      </c>
      <c r="L141" s="1">
        <v>19</v>
      </c>
    </row>
    <row r="142" spans="1:12" x14ac:dyDescent="0.25">
      <c r="A142" s="1" t="s">
        <v>608</v>
      </c>
      <c r="B142" s="1" t="s">
        <v>615</v>
      </c>
      <c r="C142" s="1" t="s">
        <v>625</v>
      </c>
      <c r="D142" s="1" t="s">
        <v>637</v>
      </c>
      <c r="E142" s="1">
        <v>50</v>
      </c>
      <c r="F142" s="1" t="s">
        <v>639</v>
      </c>
      <c r="G142" s="1">
        <v>9</v>
      </c>
      <c r="H142" s="1">
        <v>30</v>
      </c>
      <c r="I142" s="1">
        <v>9490</v>
      </c>
      <c r="J142" s="1">
        <v>4</v>
      </c>
      <c r="K142" s="1">
        <v>3</v>
      </c>
      <c r="L142" s="1">
        <v>7</v>
      </c>
    </row>
    <row r="143" spans="1:12" x14ac:dyDescent="0.25">
      <c r="A143" s="1" t="s">
        <v>200</v>
      </c>
      <c r="B143" s="1" t="s">
        <v>616</v>
      </c>
      <c r="C143" s="1" t="s">
        <v>635</v>
      </c>
      <c r="D143" s="1" t="s">
        <v>637</v>
      </c>
      <c r="E143" s="1">
        <v>44</v>
      </c>
      <c r="F143" s="1" t="s">
        <v>639</v>
      </c>
      <c r="G143" s="1">
        <v>9</v>
      </c>
      <c r="H143" s="1">
        <v>19</v>
      </c>
      <c r="I143" s="1">
        <v>9240</v>
      </c>
      <c r="J143" s="1">
        <v>1</v>
      </c>
      <c r="K143" s="1">
        <v>4</v>
      </c>
      <c r="L143" s="1">
        <v>5</v>
      </c>
    </row>
    <row r="144" spans="1:12" x14ac:dyDescent="0.25">
      <c r="A144" s="1" t="s">
        <v>312</v>
      </c>
      <c r="B144" s="1" t="s">
        <v>616</v>
      </c>
      <c r="C144" s="1" t="s">
        <v>635</v>
      </c>
      <c r="D144" s="1" t="s">
        <v>638</v>
      </c>
      <c r="E144" s="1">
        <v>37</v>
      </c>
      <c r="F144" s="1" t="s">
        <v>642</v>
      </c>
      <c r="G144" s="1">
        <v>9</v>
      </c>
      <c r="H144" s="1">
        <v>19</v>
      </c>
      <c r="I144" s="1">
        <v>9160</v>
      </c>
      <c r="J144" s="1">
        <v>4</v>
      </c>
      <c r="K144" s="1">
        <v>3</v>
      </c>
      <c r="L144" s="1">
        <v>6</v>
      </c>
    </row>
    <row r="145" spans="1:12" x14ac:dyDescent="0.25">
      <c r="A145" s="1" t="s">
        <v>478</v>
      </c>
      <c r="B145" s="1" t="s">
        <v>616</v>
      </c>
      <c r="C145" s="1" t="s">
        <v>624</v>
      </c>
      <c r="D145" s="1" t="s">
        <v>637</v>
      </c>
      <c r="E145" s="1">
        <v>57</v>
      </c>
      <c r="F145" s="1" t="s">
        <v>640</v>
      </c>
      <c r="G145" s="1">
        <v>9</v>
      </c>
      <c r="H145" s="1">
        <v>33</v>
      </c>
      <c r="I145" s="1">
        <v>9090</v>
      </c>
      <c r="J145" s="1">
        <v>1</v>
      </c>
      <c r="K145" s="1">
        <v>3</v>
      </c>
      <c r="L145" s="1">
        <v>18</v>
      </c>
    </row>
    <row r="146" spans="1:12" x14ac:dyDescent="0.25">
      <c r="A146" s="1" t="s">
        <v>286</v>
      </c>
      <c r="B146" s="1" t="s">
        <v>613</v>
      </c>
      <c r="C146" s="1" t="s">
        <v>620</v>
      </c>
      <c r="D146" s="1" t="s">
        <v>638</v>
      </c>
      <c r="E146" s="1">
        <v>42</v>
      </c>
      <c r="F146" s="1" t="s">
        <v>639</v>
      </c>
      <c r="G146" s="1">
        <v>9</v>
      </c>
      <c r="H146" s="1">
        <v>24</v>
      </c>
      <c r="I146" s="1">
        <v>8990</v>
      </c>
      <c r="J146" s="1">
        <v>4</v>
      </c>
      <c r="K146" s="1">
        <v>3</v>
      </c>
      <c r="L146" s="1">
        <v>0</v>
      </c>
    </row>
    <row r="147" spans="1:12" x14ac:dyDescent="0.25">
      <c r="A147" s="1" t="s">
        <v>514</v>
      </c>
      <c r="B147" s="1" t="s">
        <v>615</v>
      </c>
      <c r="C147" s="1" t="s">
        <v>629</v>
      </c>
      <c r="D147" s="1" t="s">
        <v>638</v>
      </c>
      <c r="E147" s="1">
        <v>31</v>
      </c>
      <c r="F147" s="1" t="s">
        <v>640</v>
      </c>
      <c r="G147" s="1">
        <v>9</v>
      </c>
      <c r="H147" s="1">
        <v>9</v>
      </c>
      <c r="I147" s="1">
        <v>8800</v>
      </c>
      <c r="J147" s="1">
        <v>3</v>
      </c>
      <c r="K147" s="1">
        <v>4</v>
      </c>
      <c r="L147" s="1">
        <v>16</v>
      </c>
    </row>
    <row r="148" spans="1:12" x14ac:dyDescent="0.25">
      <c r="A148" s="1" t="s">
        <v>577</v>
      </c>
      <c r="B148" s="1" t="s">
        <v>615</v>
      </c>
      <c r="C148" s="1" t="s">
        <v>629</v>
      </c>
      <c r="D148" s="1" t="s">
        <v>638</v>
      </c>
      <c r="E148" s="1">
        <v>37</v>
      </c>
      <c r="F148" s="1" t="s">
        <v>640</v>
      </c>
      <c r="G148" s="1">
        <v>9</v>
      </c>
      <c r="H148" s="1">
        <v>15</v>
      </c>
      <c r="I148" s="1">
        <v>8610</v>
      </c>
      <c r="J148" s="1">
        <v>3</v>
      </c>
      <c r="K148" s="1">
        <v>5</v>
      </c>
      <c r="L148" s="1">
        <v>10</v>
      </c>
    </row>
    <row r="149" spans="1:12" x14ac:dyDescent="0.25">
      <c r="A149" s="1" t="s">
        <v>143</v>
      </c>
      <c r="B149" s="1" t="s">
        <v>613</v>
      </c>
      <c r="C149" s="1" t="s">
        <v>620</v>
      </c>
      <c r="D149" s="1" t="s">
        <v>637</v>
      </c>
      <c r="E149" s="1">
        <v>52</v>
      </c>
      <c r="F149" s="1" t="s">
        <v>640</v>
      </c>
      <c r="G149" s="1">
        <v>9</v>
      </c>
      <c r="H149" s="1">
        <v>25</v>
      </c>
      <c r="I149" s="1">
        <v>8500</v>
      </c>
      <c r="J149" s="1">
        <v>5</v>
      </c>
      <c r="K149" s="1">
        <v>3</v>
      </c>
      <c r="L149" s="1">
        <v>10</v>
      </c>
    </row>
    <row r="150" spans="1:12" x14ac:dyDescent="0.25">
      <c r="A150" s="1" t="s">
        <v>561</v>
      </c>
      <c r="B150" s="1" t="s">
        <v>615</v>
      </c>
      <c r="C150" s="1" t="s">
        <v>625</v>
      </c>
      <c r="D150" s="1" t="s">
        <v>638</v>
      </c>
      <c r="E150" s="1">
        <v>46</v>
      </c>
      <c r="F150" s="1" t="s">
        <v>640</v>
      </c>
      <c r="G150" s="1">
        <v>9</v>
      </c>
      <c r="H150" s="1">
        <v>24</v>
      </c>
      <c r="I150" s="1">
        <v>8500</v>
      </c>
      <c r="J150" s="1">
        <v>2</v>
      </c>
      <c r="K150" s="1">
        <v>4</v>
      </c>
      <c r="L150" s="1">
        <v>2</v>
      </c>
    </row>
    <row r="151" spans="1:12" x14ac:dyDescent="0.25">
      <c r="A151" s="1" t="s">
        <v>278</v>
      </c>
      <c r="B151" s="1" t="s">
        <v>614</v>
      </c>
      <c r="C151" s="1" t="s">
        <v>632</v>
      </c>
      <c r="D151" s="1" t="s">
        <v>637</v>
      </c>
      <c r="E151" s="1">
        <v>44</v>
      </c>
      <c r="F151" s="1" t="s">
        <v>639</v>
      </c>
      <c r="G151" s="1">
        <v>9</v>
      </c>
      <c r="H151" s="1">
        <v>17</v>
      </c>
      <c r="I151" s="1">
        <v>8490</v>
      </c>
      <c r="J151" s="1">
        <v>4</v>
      </c>
      <c r="K151" s="1">
        <v>4</v>
      </c>
      <c r="L151" s="1">
        <v>18</v>
      </c>
    </row>
    <row r="152" spans="1:12" x14ac:dyDescent="0.25">
      <c r="A152" s="1" t="s">
        <v>69</v>
      </c>
      <c r="B152" s="1" t="s">
        <v>617</v>
      </c>
      <c r="C152" s="1" t="s">
        <v>627</v>
      </c>
      <c r="D152" s="1" t="s">
        <v>637</v>
      </c>
      <c r="E152" s="1">
        <v>52</v>
      </c>
      <c r="F152" s="1" t="s">
        <v>639</v>
      </c>
      <c r="G152" s="1">
        <v>9</v>
      </c>
      <c r="H152" s="1">
        <v>33</v>
      </c>
      <c r="I152" s="1">
        <v>8390</v>
      </c>
      <c r="J152" s="1">
        <v>3</v>
      </c>
      <c r="K152" s="1">
        <v>1</v>
      </c>
      <c r="L152" s="1">
        <v>17</v>
      </c>
    </row>
    <row r="153" spans="1:12" x14ac:dyDescent="0.25">
      <c r="A153" s="1" t="s">
        <v>430</v>
      </c>
      <c r="B153" s="1" t="s">
        <v>613</v>
      </c>
      <c r="C153" s="1" t="s">
        <v>620</v>
      </c>
      <c r="D153" s="1" t="s">
        <v>637</v>
      </c>
      <c r="E153" s="1">
        <v>58</v>
      </c>
      <c r="F153" s="1" t="s">
        <v>640</v>
      </c>
      <c r="G153" s="1">
        <v>9</v>
      </c>
      <c r="H153" s="1">
        <v>30</v>
      </c>
      <c r="I153" s="1">
        <v>8360</v>
      </c>
      <c r="J153" s="1">
        <v>3</v>
      </c>
      <c r="K153" s="1">
        <v>3</v>
      </c>
      <c r="L153" s="1">
        <v>7</v>
      </c>
    </row>
    <row r="154" spans="1:12" x14ac:dyDescent="0.25">
      <c r="A154" s="1" t="s">
        <v>294</v>
      </c>
      <c r="B154" s="1" t="s">
        <v>617</v>
      </c>
      <c r="C154" s="1" t="s">
        <v>628</v>
      </c>
      <c r="D154" s="1" t="s">
        <v>638</v>
      </c>
      <c r="E154" s="1">
        <v>41</v>
      </c>
      <c r="F154" s="1" t="s">
        <v>640</v>
      </c>
      <c r="G154" s="1">
        <v>9</v>
      </c>
      <c r="H154" s="1">
        <v>20</v>
      </c>
      <c r="I154" s="1">
        <v>8300</v>
      </c>
      <c r="J154" s="1">
        <v>5</v>
      </c>
      <c r="K154" s="1">
        <v>4</v>
      </c>
      <c r="L154" s="1">
        <v>2</v>
      </c>
    </row>
    <row r="155" spans="1:12" x14ac:dyDescent="0.25">
      <c r="A155" s="1" t="s">
        <v>557</v>
      </c>
      <c r="B155" s="1" t="s">
        <v>617</v>
      </c>
      <c r="C155" s="1" t="s">
        <v>627</v>
      </c>
      <c r="D155" s="1" t="s">
        <v>638</v>
      </c>
      <c r="E155" s="1">
        <v>49</v>
      </c>
      <c r="F155" s="1" t="s">
        <v>639</v>
      </c>
      <c r="G155" s="1">
        <v>9</v>
      </c>
      <c r="H155" s="1">
        <v>26</v>
      </c>
      <c r="I155" s="1">
        <v>8030</v>
      </c>
      <c r="J155" s="1">
        <v>1</v>
      </c>
      <c r="K155" s="1">
        <v>4</v>
      </c>
      <c r="L155" s="1">
        <v>9</v>
      </c>
    </row>
    <row r="156" spans="1:12" x14ac:dyDescent="0.25">
      <c r="A156" s="1" t="s">
        <v>45</v>
      </c>
      <c r="B156" s="1" t="s">
        <v>612</v>
      </c>
      <c r="C156" s="1" t="s">
        <v>618</v>
      </c>
      <c r="D156" s="1" t="s">
        <v>637</v>
      </c>
      <c r="E156" s="1">
        <v>50</v>
      </c>
      <c r="F156" s="1" t="s">
        <v>640</v>
      </c>
      <c r="G156" s="1">
        <v>9</v>
      </c>
      <c r="H156" s="1">
        <v>25</v>
      </c>
      <c r="I156" s="1">
        <v>7900</v>
      </c>
      <c r="J156" s="1">
        <v>1</v>
      </c>
      <c r="K156" s="1">
        <v>5</v>
      </c>
      <c r="L156" s="1">
        <v>14</v>
      </c>
    </row>
    <row r="157" spans="1:12" x14ac:dyDescent="0.25">
      <c r="A157" s="1" t="s">
        <v>590</v>
      </c>
      <c r="B157" s="1" t="s">
        <v>613</v>
      </c>
      <c r="C157" s="1" t="s">
        <v>620</v>
      </c>
      <c r="D157" s="1" t="s">
        <v>637</v>
      </c>
      <c r="E157" s="1">
        <v>42</v>
      </c>
      <c r="F157" s="1" t="s">
        <v>639</v>
      </c>
      <c r="G157" s="1">
        <v>9</v>
      </c>
      <c r="H157" s="1">
        <v>20</v>
      </c>
      <c r="I157" s="1">
        <v>7760</v>
      </c>
      <c r="J157" s="1">
        <v>2</v>
      </c>
      <c r="K157" s="1">
        <v>3</v>
      </c>
      <c r="L157" s="1">
        <v>25</v>
      </c>
    </row>
    <row r="158" spans="1:12" x14ac:dyDescent="0.25">
      <c r="A158" s="1" t="s">
        <v>48</v>
      </c>
      <c r="B158" s="1" t="s">
        <v>617</v>
      </c>
      <c r="C158" s="1" t="s">
        <v>634</v>
      </c>
      <c r="D158" s="1" t="s">
        <v>638</v>
      </c>
      <c r="E158" s="1">
        <v>55</v>
      </c>
      <c r="F158" s="1" t="s">
        <v>639</v>
      </c>
      <c r="G158" s="1">
        <v>9</v>
      </c>
      <c r="H158" s="1">
        <v>27</v>
      </c>
      <c r="I158" s="1">
        <v>7690</v>
      </c>
      <c r="J158" s="1">
        <v>2</v>
      </c>
      <c r="K158" s="1">
        <v>4</v>
      </c>
      <c r="L158" s="1">
        <v>16</v>
      </c>
    </row>
    <row r="159" spans="1:12" x14ac:dyDescent="0.25">
      <c r="A159" s="1" t="s">
        <v>379</v>
      </c>
      <c r="B159" s="1" t="s">
        <v>613</v>
      </c>
      <c r="C159" s="1" t="s">
        <v>631</v>
      </c>
      <c r="D159" s="1" t="s">
        <v>638</v>
      </c>
      <c r="E159" s="1">
        <v>45</v>
      </c>
      <c r="F159" s="1" t="s">
        <v>642</v>
      </c>
      <c r="G159" s="1">
        <v>9</v>
      </c>
      <c r="H159" s="1">
        <v>24</v>
      </c>
      <c r="I159" s="1">
        <v>7690</v>
      </c>
      <c r="J159" s="1">
        <v>3</v>
      </c>
      <c r="K159" s="1">
        <v>3</v>
      </c>
      <c r="L159" s="1">
        <v>16</v>
      </c>
    </row>
    <row r="160" spans="1:12" x14ac:dyDescent="0.25">
      <c r="A160" s="1" t="s">
        <v>394</v>
      </c>
      <c r="B160" s="1" t="s">
        <v>615</v>
      </c>
      <c r="C160" s="1" t="s">
        <v>625</v>
      </c>
      <c r="D160" s="1" t="s">
        <v>637</v>
      </c>
      <c r="E160" s="1">
        <v>36</v>
      </c>
      <c r="F160" s="1" t="s">
        <v>639</v>
      </c>
      <c r="G160" s="1">
        <v>9</v>
      </c>
      <c r="H160" s="1">
        <v>17</v>
      </c>
      <c r="I160" s="1">
        <v>7600</v>
      </c>
      <c r="J160" s="1">
        <v>5</v>
      </c>
      <c r="K160" s="1">
        <v>4</v>
      </c>
      <c r="L160" s="1">
        <v>0</v>
      </c>
    </row>
    <row r="161" spans="1:12" x14ac:dyDescent="0.25">
      <c r="A161" s="1" t="s">
        <v>359</v>
      </c>
      <c r="B161" s="1" t="s">
        <v>612</v>
      </c>
      <c r="C161" s="1" t="s">
        <v>630</v>
      </c>
      <c r="D161" s="1" t="s">
        <v>637</v>
      </c>
      <c r="E161" s="1">
        <v>32</v>
      </c>
      <c r="F161" s="1" t="s">
        <v>640</v>
      </c>
      <c r="G161" s="1">
        <v>9</v>
      </c>
      <c r="H161" s="1">
        <v>10</v>
      </c>
      <c r="I161" s="1">
        <v>7510</v>
      </c>
      <c r="J161" s="1">
        <v>2</v>
      </c>
      <c r="K161" s="1">
        <v>3</v>
      </c>
      <c r="L161" s="1">
        <v>5</v>
      </c>
    </row>
    <row r="162" spans="1:12" x14ac:dyDescent="0.25">
      <c r="A162" s="1" t="s">
        <v>70</v>
      </c>
      <c r="B162" s="1" t="s">
        <v>614</v>
      </c>
      <c r="C162" s="1" t="s">
        <v>633</v>
      </c>
      <c r="D162" s="1" t="s">
        <v>638</v>
      </c>
      <c r="E162" s="1">
        <v>32</v>
      </c>
      <c r="F162" s="1" t="s">
        <v>640</v>
      </c>
      <c r="G162" s="1">
        <v>9</v>
      </c>
      <c r="H162" s="1">
        <v>9</v>
      </c>
      <c r="I162" s="1">
        <v>7150</v>
      </c>
      <c r="J162" s="1">
        <v>4</v>
      </c>
      <c r="K162" s="1">
        <v>5</v>
      </c>
      <c r="L162" s="1">
        <v>11</v>
      </c>
    </row>
    <row r="163" spans="1:12" x14ac:dyDescent="0.25">
      <c r="A163" s="1" t="s">
        <v>370</v>
      </c>
      <c r="B163" s="1" t="s">
        <v>617</v>
      </c>
      <c r="C163" s="1" t="s">
        <v>627</v>
      </c>
      <c r="D163" s="1" t="s">
        <v>638</v>
      </c>
      <c r="E163" s="1">
        <v>43</v>
      </c>
      <c r="F163" s="1" t="s">
        <v>640</v>
      </c>
      <c r="G163" s="1">
        <v>9</v>
      </c>
      <c r="H163" s="1">
        <v>16</v>
      </c>
      <c r="I163" s="1">
        <v>7140</v>
      </c>
      <c r="J163" s="1">
        <v>4</v>
      </c>
      <c r="K163" s="1">
        <v>4</v>
      </c>
      <c r="L163" s="1">
        <v>17</v>
      </c>
    </row>
    <row r="164" spans="1:12" x14ac:dyDescent="0.25">
      <c r="A164" s="1" t="s">
        <v>531</v>
      </c>
      <c r="B164" s="1" t="s">
        <v>615</v>
      </c>
      <c r="C164" s="1" t="s">
        <v>625</v>
      </c>
      <c r="D164" s="1" t="s">
        <v>638</v>
      </c>
      <c r="E164" s="1">
        <v>33</v>
      </c>
      <c r="F164" s="1" t="s">
        <v>639</v>
      </c>
      <c r="G164" s="1">
        <v>9</v>
      </c>
      <c r="H164" s="1">
        <v>9</v>
      </c>
      <c r="I164" s="1">
        <v>6810</v>
      </c>
      <c r="J164" s="1">
        <v>3</v>
      </c>
      <c r="K164" s="1">
        <v>1</v>
      </c>
      <c r="L164" s="1">
        <v>17</v>
      </c>
    </row>
    <row r="165" spans="1:12" x14ac:dyDescent="0.25">
      <c r="A165" s="1" t="s">
        <v>505</v>
      </c>
      <c r="B165" s="1" t="s">
        <v>616</v>
      </c>
      <c r="C165" s="1" t="s">
        <v>636</v>
      </c>
      <c r="D165" s="1" t="s">
        <v>638</v>
      </c>
      <c r="E165" s="1">
        <v>34</v>
      </c>
      <c r="F165" s="1" t="s">
        <v>640</v>
      </c>
      <c r="G165" s="1">
        <v>9</v>
      </c>
      <c r="H165" s="1">
        <v>11</v>
      </c>
      <c r="I165" s="1">
        <v>6680</v>
      </c>
      <c r="J165" s="1">
        <v>2</v>
      </c>
      <c r="K165" s="1">
        <v>4</v>
      </c>
      <c r="L165" s="1">
        <v>11</v>
      </c>
    </row>
    <row r="166" spans="1:12" x14ac:dyDescent="0.25">
      <c r="A166" s="1" t="s">
        <v>338</v>
      </c>
      <c r="B166" s="1" t="s">
        <v>615</v>
      </c>
      <c r="C166" s="1" t="s">
        <v>622</v>
      </c>
      <c r="D166" s="1" t="s">
        <v>637</v>
      </c>
      <c r="E166" s="1">
        <v>33</v>
      </c>
      <c r="F166" s="1" t="s">
        <v>639</v>
      </c>
      <c r="G166" s="1">
        <v>9</v>
      </c>
      <c r="H166" s="1">
        <v>9</v>
      </c>
      <c r="I166" s="1">
        <v>6480</v>
      </c>
      <c r="J166" s="1">
        <v>3</v>
      </c>
      <c r="K166" s="1">
        <v>2</v>
      </c>
      <c r="L166" s="1">
        <v>2</v>
      </c>
    </row>
    <row r="167" spans="1:12" x14ac:dyDescent="0.25">
      <c r="A167" s="1" t="s">
        <v>73</v>
      </c>
      <c r="B167" s="1" t="s">
        <v>617</v>
      </c>
      <c r="C167" s="1" t="s">
        <v>628</v>
      </c>
      <c r="D167" s="1" t="s">
        <v>637</v>
      </c>
      <c r="E167" s="1">
        <v>35</v>
      </c>
      <c r="F167" s="1" t="s">
        <v>639</v>
      </c>
      <c r="G167" s="1">
        <v>9</v>
      </c>
      <c r="H167" s="1">
        <v>9</v>
      </c>
      <c r="I167" s="1">
        <v>6420</v>
      </c>
      <c r="J167" s="1">
        <v>3</v>
      </c>
      <c r="K167" s="1">
        <v>3</v>
      </c>
      <c r="L167" s="1">
        <v>11</v>
      </c>
    </row>
    <row r="168" spans="1:12" x14ac:dyDescent="0.25">
      <c r="A168" s="1" t="s">
        <v>113</v>
      </c>
      <c r="B168" s="1" t="s">
        <v>613</v>
      </c>
      <c r="C168" s="1" t="s">
        <v>631</v>
      </c>
      <c r="D168" s="1" t="s">
        <v>638</v>
      </c>
      <c r="E168" s="1">
        <v>33</v>
      </c>
      <c r="F168" s="1" t="s">
        <v>640</v>
      </c>
      <c r="G168" s="1">
        <v>9</v>
      </c>
      <c r="H168" s="1">
        <v>10</v>
      </c>
      <c r="I168" s="1">
        <v>6260</v>
      </c>
      <c r="J168" s="1">
        <v>5</v>
      </c>
      <c r="K168" s="1">
        <v>1</v>
      </c>
      <c r="L168" s="1">
        <v>0</v>
      </c>
    </row>
    <row r="169" spans="1:12" x14ac:dyDescent="0.25">
      <c r="A169" s="1" t="s">
        <v>279</v>
      </c>
      <c r="B169" s="1" t="s">
        <v>612</v>
      </c>
      <c r="C169" s="1" t="s">
        <v>619</v>
      </c>
      <c r="D169" s="1" t="s">
        <v>638</v>
      </c>
      <c r="E169" s="1">
        <v>32</v>
      </c>
      <c r="F169" s="1" t="s">
        <v>640</v>
      </c>
      <c r="G169" s="1">
        <v>9</v>
      </c>
      <c r="H169" s="1">
        <v>9</v>
      </c>
      <c r="I169" s="1">
        <v>6180</v>
      </c>
      <c r="J169" s="1">
        <v>3</v>
      </c>
      <c r="K169" s="1">
        <v>1</v>
      </c>
      <c r="L169" s="1">
        <v>11</v>
      </c>
    </row>
    <row r="170" spans="1:12" x14ac:dyDescent="0.25">
      <c r="A170" s="1" t="s">
        <v>77</v>
      </c>
      <c r="B170" s="1" t="s">
        <v>614</v>
      </c>
      <c r="C170" s="1" t="s">
        <v>621</v>
      </c>
      <c r="D170" s="1" t="s">
        <v>637</v>
      </c>
      <c r="E170" s="1">
        <v>58</v>
      </c>
      <c r="F170" s="1" t="s">
        <v>640</v>
      </c>
      <c r="G170" s="1">
        <v>8</v>
      </c>
      <c r="H170" s="1">
        <v>39</v>
      </c>
      <c r="I170" s="1">
        <v>9840</v>
      </c>
      <c r="J170" s="1">
        <v>4</v>
      </c>
      <c r="K170" s="1">
        <v>3</v>
      </c>
      <c r="L170" s="1">
        <v>28</v>
      </c>
    </row>
    <row r="171" spans="1:12" x14ac:dyDescent="0.25">
      <c r="A171" s="1" t="s">
        <v>585</v>
      </c>
      <c r="B171" s="1" t="s">
        <v>615</v>
      </c>
      <c r="C171" s="1" t="s">
        <v>629</v>
      </c>
      <c r="D171" s="1" t="s">
        <v>637</v>
      </c>
      <c r="E171" s="1">
        <v>50</v>
      </c>
      <c r="F171" s="1" t="s">
        <v>641</v>
      </c>
      <c r="G171" s="1">
        <v>8</v>
      </c>
      <c r="H171" s="1">
        <v>22</v>
      </c>
      <c r="I171" s="1">
        <v>9650</v>
      </c>
      <c r="J171" s="1">
        <v>4</v>
      </c>
      <c r="K171" s="1">
        <v>3</v>
      </c>
      <c r="L171" s="1">
        <v>4</v>
      </c>
    </row>
    <row r="172" spans="1:12" x14ac:dyDescent="0.25">
      <c r="A172" s="1" t="s">
        <v>314</v>
      </c>
      <c r="B172" s="1" t="s">
        <v>617</v>
      </c>
      <c r="C172" s="1" t="s">
        <v>627</v>
      </c>
      <c r="D172" s="1" t="s">
        <v>637</v>
      </c>
      <c r="E172" s="1">
        <v>58</v>
      </c>
      <c r="F172" s="1" t="s">
        <v>642</v>
      </c>
      <c r="G172" s="1">
        <v>8</v>
      </c>
      <c r="H172" s="1">
        <v>35</v>
      </c>
      <c r="I172" s="1">
        <v>9610</v>
      </c>
      <c r="J172" s="1">
        <v>4</v>
      </c>
      <c r="K172" s="1">
        <v>3</v>
      </c>
      <c r="L172" s="1">
        <v>19</v>
      </c>
    </row>
    <row r="173" spans="1:12" x14ac:dyDescent="0.25">
      <c r="A173" s="1" t="s">
        <v>488</v>
      </c>
      <c r="B173" s="1" t="s">
        <v>617</v>
      </c>
      <c r="C173" s="1" t="s">
        <v>628</v>
      </c>
      <c r="D173" s="1" t="s">
        <v>638</v>
      </c>
      <c r="E173" s="1">
        <v>49</v>
      </c>
      <c r="F173" s="1" t="s">
        <v>639</v>
      </c>
      <c r="G173" s="1">
        <v>8</v>
      </c>
      <c r="H173" s="1">
        <v>26</v>
      </c>
      <c r="I173" s="1">
        <v>9340</v>
      </c>
      <c r="J173" s="1">
        <v>4</v>
      </c>
      <c r="K173" s="1">
        <v>5</v>
      </c>
      <c r="L173" s="1">
        <v>14</v>
      </c>
    </row>
    <row r="174" spans="1:12" x14ac:dyDescent="0.25">
      <c r="A174" s="1" t="s">
        <v>301</v>
      </c>
      <c r="B174" s="1" t="s">
        <v>615</v>
      </c>
      <c r="C174" s="1" t="s">
        <v>622</v>
      </c>
      <c r="D174" s="1" t="s">
        <v>638</v>
      </c>
      <c r="E174" s="1">
        <v>52</v>
      </c>
      <c r="F174" s="1" t="s">
        <v>639</v>
      </c>
      <c r="G174" s="1">
        <v>8</v>
      </c>
      <c r="H174" s="1">
        <v>34</v>
      </c>
      <c r="I174" s="1">
        <v>9300</v>
      </c>
      <c r="J174" s="1">
        <v>3</v>
      </c>
      <c r="K174" s="1">
        <v>5</v>
      </c>
      <c r="L174" s="1">
        <v>26</v>
      </c>
    </row>
    <row r="175" spans="1:12" x14ac:dyDescent="0.25">
      <c r="A175" s="1" t="s">
        <v>228</v>
      </c>
      <c r="B175" s="1" t="s">
        <v>617</v>
      </c>
      <c r="C175" s="1" t="s">
        <v>628</v>
      </c>
      <c r="D175" s="1" t="s">
        <v>638</v>
      </c>
      <c r="E175" s="1">
        <v>50</v>
      </c>
      <c r="F175" s="1" t="s">
        <v>639</v>
      </c>
      <c r="G175" s="1">
        <v>8</v>
      </c>
      <c r="H175" s="1">
        <v>25</v>
      </c>
      <c r="I175" s="1">
        <v>9060</v>
      </c>
      <c r="J175" s="1">
        <v>5</v>
      </c>
      <c r="K175" s="1">
        <v>4</v>
      </c>
      <c r="L175" s="1">
        <v>5</v>
      </c>
    </row>
    <row r="176" spans="1:12" x14ac:dyDescent="0.25">
      <c r="A176" s="1" t="s">
        <v>603</v>
      </c>
      <c r="B176" s="1" t="s">
        <v>615</v>
      </c>
      <c r="C176" s="1" t="s">
        <v>629</v>
      </c>
      <c r="D176" s="1" t="s">
        <v>638</v>
      </c>
      <c r="E176" s="1">
        <v>45</v>
      </c>
      <c r="F176" s="1" t="s">
        <v>642</v>
      </c>
      <c r="G176" s="1">
        <v>8</v>
      </c>
      <c r="H176" s="1">
        <v>19</v>
      </c>
      <c r="I176" s="1">
        <v>9030</v>
      </c>
      <c r="J176" s="1">
        <v>5</v>
      </c>
      <c r="K176" s="1">
        <v>5</v>
      </c>
      <c r="L176" s="1">
        <v>9</v>
      </c>
    </row>
    <row r="177" spans="1:12" x14ac:dyDescent="0.25">
      <c r="A177" s="1" t="s">
        <v>190</v>
      </c>
      <c r="B177" s="1" t="s">
        <v>613</v>
      </c>
      <c r="C177" s="1" t="s">
        <v>620</v>
      </c>
      <c r="D177" s="1" t="s">
        <v>638</v>
      </c>
      <c r="E177" s="1">
        <v>58</v>
      </c>
      <c r="F177" s="1" t="s">
        <v>639</v>
      </c>
      <c r="G177" s="1">
        <v>8</v>
      </c>
      <c r="H177" s="1">
        <v>36</v>
      </c>
      <c r="I177" s="1">
        <v>8920</v>
      </c>
      <c r="J177" s="1">
        <v>4</v>
      </c>
      <c r="K177" s="1">
        <v>4</v>
      </c>
      <c r="L177" s="1">
        <v>8</v>
      </c>
    </row>
    <row r="178" spans="1:12" x14ac:dyDescent="0.25">
      <c r="A178" s="1" t="s">
        <v>300</v>
      </c>
      <c r="B178" s="1" t="s">
        <v>616</v>
      </c>
      <c r="C178" s="1" t="s">
        <v>624</v>
      </c>
      <c r="D178" s="1" t="s">
        <v>638</v>
      </c>
      <c r="E178" s="1">
        <v>47</v>
      </c>
      <c r="F178" s="1" t="s">
        <v>639</v>
      </c>
      <c r="G178" s="1">
        <v>8</v>
      </c>
      <c r="H178" s="1">
        <v>28</v>
      </c>
      <c r="I178" s="1">
        <v>8830</v>
      </c>
      <c r="J178" s="1">
        <v>4</v>
      </c>
      <c r="K178" s="1">
        <v>2</v>
      </c>
      <c r="L178" s="1">
        <v>0</v>
      </c>
    </row>
    <row r="179" spans="1:12" x14ac:dyDescent="0.25">
      <c r="A179" s="1" t="s">
        <v>283</v>
      </c>
      <c r="B179" s="1" t="s">
        <v>614</v>
      </c>
      <c r="C179" s="1" t="s">
        <v>633</v>
      </c>
      <c r="D179" s="1" t="s">
        <v>637</v>
      </c>
      <c r="E179" s="1">
        <v>46</v>
      </c>
      <c r="F179" s="1" t="s">
        <v>639</v>
      </c>
      <c r="G179" s="1">
        <v>8</v>
      </c>
      <c r="H179" s="1">
        <v>19</v>
      </c>
      <c r="I179" s="1">
        <v>8710</v>
      </c>
      <c r="J179" s="1">
        <v>2</v>
      </c>
      <c r="K179" s="1">
        <v>4</v>
      </c>
      <c r="L179" s="1">
        <v>20</v>
      </c>
    </row>
    <row r="180" spans="1:12" x14ac:dyDescent="0.25">
      <c r="A180" s="1" t="s">
        <v>107</v>
      </c>
      <c r="B180" s="1" t="s">
        <v>614</v>
      </c>
      <c r="C180" s="1" t="s">
        <v>633</v>
      </c>
      <c r="D180" s="1" t="s">
        <v>637</v>
      </c>
      <c r="E180" s="1">
        <v>45</v>
      </c>
      <c r="F180" s="1" t="s">
        <v>639</v>
      </c>
      <c r="G180" s="1">
        <v>8</v>
      </c>
      <c r="H180" s="1">
        <v>17</v>
      </c>
      <c r="I180" s="1">
        <v>8540</v>
      </c>
      <c r="J180" s="1">
        <v>4</v>
      </c>
      <c r="K180" s="1">
        <v>3</v>
      </c>
      <c r="L180" s="1">
        <v>14</v>
      </c>
    </row>
    <row r="181" spans="1:12" x14ac:dyDescent="0.25">
      <c r="A181" s="1" t="s">
        <v>28</v>
      </c>
      <c r="B181" s="1" t="s">
        <v>617</v>
      </c>
      <c r="C181" s="1" t="s">
        <v>628</v>
      </c>
      <c r="D181" s="1" t="s">
        <v>638</v>
      </c>
      <c r="E181" s="1">
        <v>39</v>
      </c>
      <c r="F181" s="1" t="s">
        <v>640</v>
      </c>
      <c r="G181" s="1">
        <v>8</v>
      </c>
      <c r="H181" s="1">
        <v>17</v>
      </c>
      <c r="I181" s="1">
        <v>8300</v>
      </c>
      <c r="J181" s="1">
        <v>2</v>
      </c>
      <c r="K181" s="1">
        <v>3</v>
      </c>
      <c r="L181" s="1">
        <v>9</v>
      </c>
    </row>
    <row r="182" spans="1:12" x14ac:dyDescent="0.25">
      <c r="A182" s="1" t="s">
        <v>120</v>
      </c>
      <c r="B182" s="1" t="s">
        <v>614</v>
      </c>
      <c r="C182" s="1" t="s">
        <v>632</v>
      </c>
      <c r="D182" s="1" t="s">
        <v>637</v>
      </c>
      <c r="E182" s="1">
        <v>34</v>
      </c>
      <c r="F182" s="1" t="s">
        <v>639</v>
      </c>
      <c r="G182" s="1">
        <v>8</v>
      </c>
      <c r="H182" s="1">
        <v>9</v>
      </c>
      <c r="I182" s="1">
        <v>8020</v>
      </c>
      <c r="J182" s="1">
        <v>2</v>
      </c>
      <c r="K182" s="1">
        <v>4</v>
      </c>
      <c r="L182" s="1">
        <v>0</v>
      </c>
    </row>
    <row r="183" spans="1:12" x14ac:dyDescent="0.25">
      <c r="A183" s="1" t="s">
        <v>103</v>
      </c>
      <c r="B183" s="1" t="s">
        <v>612</v>
      </c>
      <c r="C183" s="1" t="s">
        <v>630</v>
      </c>
      <c r="D183" s="1" t="s">
        <v>637</v>
      </c>
      <c r="E183" s="1">
        <v>42</v>
      </c>
      <c r="F183" s="1" t="s">
        <v>639</v>
      </c>
      <c r="G183" s="1">
        <v>8</v>
      </c>
      <c r="H183" s="1">
        <v>18</v>
      </c>
      <c r="I183" s="1">
        <v>7950</v>
      </c>
      <c r="J183" s="1">
        <v>4</v>
      </c>
      <c r="K183" s="1">
        <v>3</v>
      </c>
      <c r="L183" s="1">
        <v>16</v>
      </c>
    </row>
    <row r="184" spans="1:12" x14ac:dyDescent="0.25">
      <c r="A184" s="1" t="s">
        <v>471</v>
      </c>
      <c r="B184" s="1" t="s">
        <v>615</v>
      </c>
      <c r="C184" s="1" t="s">
        <v>629</v>
      </c>
      <c r="D184" s="1" t="s">
        <v>638</v>
      </c>
      <c r="E184" s="1">
        <v>28</v>
      </c>
      <c r="F184" s="1" t="s">
        <v>642</v>
      </c>
      <c r="G184" s="1">
        <v>8</v>
      </c>
      <c r="H184" s="1">
        <v>9</v>
      </c>
      <c r="I184" s="1">
        <v>7940</v>
      </c>
      <c r="J184" s="1">
        <v>5</v>
      </c>
      <c r="K184" s="1">
        <v>5</v>
      </c>
      <c r="L184" s="1">
        <v>12</v>
      </c>
    </row>
    <row r="185" spans="1:12" x14ac:dyDescent="0.25">
      <c r="A185" s="1" t="s">
        <v>30</v>
      </c>
      <c r="B185" s="1" t="s">
        <v>616</v>
      </c>
      <c r="C185" s="1" t="s">
        <v>624</v>
      </c>
      <c r="D185" s="1" t="s">
        <v>637</v>
      </c>
      <c r="E185" s="1">
        <v>52</v>
      </c>
      <c r="F185" s="1" t="s">
        <v>639</v>
      </c>
      <c r="G185" s="1">
        <v>8</v>
      </c>
      <c r="H185" s="1">
        <v>24</v>
      </c>
      <c r="I185" s="1">
        <v>7920</v>
      </c>
      <c r="J185" s="1">
        <v>4</v>
      </c>
      <c r="K185" s="1">
        <v>4</v>
      </c>
      <c r="L185" s="1">
        <v>12</v>
      </c>
    </row>
    <row r="186" spans="1:12" x14ac:dyDescent="0.25">
      <c r="A186" s="1" t="s">
        <v>512</v>
      </c>
      <c r="B186" s="1" t="s">
        <v>615</v>
      </c>
      <c r="C186" s="1" t="s">
        <v>622</v>
      </c>
      <c r="D186" s="1" t="s">
        <v>638</v>
      </c>
      <c r="E186" s="1">
        <v>45</v>
      </c>
      <c r="F186" s="1" t="s">
        <v>642</v>
      </c>
      <c r="G186" s="1">
        <v>8</v>
      </c>
      <c r="H186" s="1">
        <v>18</v>
      </c>
      <c r="I186" s="1">
        <v>7660</v>
      </c>
      <c r="J186" s="1">
        <v>4</v>
      </c>
      <c r="K186" s="1">
        <v>3</v>
      </c>
      <c r="L186" s="1">
        <v>6</v>
      </c>
    </row>
    <row r="187" spans="1:12" x14ac:dyDescent="0.25">
      <c r="A187" s="1" t="s">
        <v>80</v>
      </c>
      <c r="B187" s="1" t="s">
        <v>614</v>
      </c>
      <c r="C187" s="1" t="s">
        <v>626</v>
      </c>
      <c r="D187" s="1" t="s">
        <v>637</v>
      </c>
      <c r="E187" s="1">
        <v>57</v>
      </c>
      <c r="F187" s="1" t="s">
        <v>639</v>
      </c>
      <c r="G187" s="1">
        <v>8</v>
      </c>
      <c r="H187" s="1">
        <v>27</v>
      </c>
      <c r="I187" s="1">
        <v>7650</v>
      </c>
      <c r="J187" s="1">
        <v>3</v>
      </c>
      <c r="K187" s="1">
        <v>5</v>
      </c>
      <c r="L187" s="1">
        <v>4</v>
      </c>
    </row>
    <row r="188" spans="1:12" x14ac:dyDescent="0.25">
      <c r="A188" s="1" t="s">
        <v>101</v>
      </c>
      <c r="B188" s="1" t="s">
        <v>614</v>
      </c>
      <c r="C188" s="1" t="s">
        <v>621</v>
      </c>
      <c r="D188" s="1" t="s">
        <v>638</v>
      </c>
      <c r="E188" s="1">
        <v>37</v>
      </c>
      <c r="F188" s="1" t="s">
        <v>639</v>
      </c>
      <c r="G188" s="1">
        <v>8</v>
      </c>
      <c r="H188" s="1">
        <v>8</v>
      </c>
      <c r="I188" s="1">
        <v>7390</v>
      </c>
      <c r="J188" s="1">
        <v>5</v>
      </c>
      <c r="K188" s="1">
        <v>3</v>
      </c>
      <c r="L188" s="1">
        <v>9</v>
      </c>
    </row>
    <row r="189" spans="1:12" x14ac:dyDescent="0.25">
      <c r="A189" s="1" t="s">
        <v>565</v>
      </c>
      <c r="B189" s="1" t="s">
        <v>612</v>
      </c>
      <c r="C189" s="1" t="s">
        <v>619</v>
      </c>
      <c r="D189" s="1" t="s">
        <v>638</v>
      </c>
      <c r="E189" s="1">
        <v>51</v>
      </c>
      <c r="F189" s="1" t="s">
        <v>639</v>
      </c>
      <c r="G189" s="1">
        <v>8</v>
      </c>
      <c r="H189" s="1">
        <v>25</v>
      </c>
      <c r="I189" s="1">
        <v>7190</v>
      </c>
      <c r="J189" s="1">
        <v>1</v>
      </c>
      <c r="K189" s="1">
        <v>4</v>
      </c>
      <c r="L189" s="1">
        <v>15</v>
      </c>
    </row>
    <row r="190" spans="1:12" x14ac:dyDescent="0.25">
      <c r="A190" s="1" t="s">
        <v>399</v>
      </c>
      <c r="B190" s="1" t="s">
        <v>613</v>
      </c>
      <c r="C190" s="1" t="s">
        <v>620</v>
      </c>
      <c r="D190" s="1" t="s">
        <v>638</v>
      </c>
      <c r="E190" s="1">
        <v>50</v>
      </c>
      <c r="F190" s="1" t="s">
        <v>639</v>
      </c>
      <c r="G190" s="1">
        <v>8</v>
      </c>
      <c r="H190" s="1">
        <v>22</v>
      </c>
      <c r="I190" s="1">
        <v>6970</v>
      </c>
      <c r="J190" s="1">
        <v>3</v>
      </c>
      <c r="K190" s="1">
        <v>1</v>
      </c>
      <c r="L190" s="1">
        <v>12</v>
      </c>
    </row>
    <row r="191" spans="1:12" x14ac:dyDescent="0.25">
      <c r="A191" s="1" t="s">
        <v>161</v>
      </c>
      <c r="B191" s="1" t="s">
        <v>615</v>
      </c>
      <c r="C191" s="1" t="s">
        <v>625</v>
      </c>
      <c r="D191" s="1" t="s">
        <v>638</v>
      </c>
      <c r="E191" s="1">
        <v>33</v>
      </c>
      <c r="F191" s="1" t="s">
        <v>639</v>
      </c>
      <c r="G191" s="1">
        <v>8</v>
      </c>
      <c r="H191" s="1">
        <v>9</v>
      </c>
      <c r="I191" s="1">
        <v>6940</v>
      </c>
      <c r="J191" s="1">
        <v>3</v>
      </c>
      <c r="K191" s="1">
        <v>4</v>
      </c>
      <c r="L191" s="1">
        <v>14</v>
      </c>
    </row>
    <row r="192" spans="1:12" x14ac:dyDescent="0.25">
      <c r="A192" s="1" t="s">
        <v>444</v>
      </c>
      <c r="B192" s="1" t="s">
        <v>612</v>
      </c>
      <c r="C192" s="1" t="s">
        <v>618</v>
      </c>
      <c r="D192" s="1" t="s">
        <v>638</v>
      </c>
      <c r="E192" s="1">
        <v>37</v>
      </c>
      <c r="F192" s="1" t="s">
        <v>642</v>
      </c>
      <c r="G192" s="1">
        <v>8</v>
      </c>
      <c r="H192" s="1">
        <v>10</v>
      </c>
      <c r="I192" s="1">
        <v>6870</v>
      </c>
      <c r="J192" s="1">
        <v>2</v>
      </c>
      <c r="K192" s="1">
        <v>5</v>
      </c>
      <c r="L192" s="1">
        <v>16</v>
      </c>
    </row>
    <row r="193" spans="1:12" x14ac:dyDescent="0.25">
      <c r="A193" s="1" t="s">
        <v>81</v>
      </c>
      <c r="B193" s="1" t="s">
        <v>612</v>
      </c>
      <c r="C193" s="1" t="s">
        <v>619</v>
      </c>
      <c r="D193" s="1" t="s">
        <v>638</v>
      </c>
      <c r="E193" s="1">
        <v>34</v>
      </c>
      <c r="F193" s="1" t="s">
        <v>639</v>
      </c>
      <c r="G193" s="1">
        <v>8</v>
      </c>
      <c r="H193" s="1">
        <v>10</v>
      </c>
      <c r="I193" s="1">
        <v>6650</v>
      </c>
      <c r="J193" s="1">
        <v>4</v>
      </c>
      <c r="K193" s="1">
        <v>1</v>
      </c>
      <c r="L193" s="1">
        <v>9</v>
      </c>
    </row>
    <row r="194" spans="1:12" x14ac:dyDescent="0.25">
      <c r="A194" s="1" t="s">
        <v>390</v>
      </c>
      <c r="B194" s="1" t="s">
        <v>617</v>
      </c>
      <c r="C194" s="1" t="s">
        <v>634</v>
      </c>
      <c r="D194" s="1" t="s">
        <v>638</v>
      </c>
      <c r="E194" s="1">
        <v>38</v>
      </c>
      <c r="F194" s="1" t="s">
        <v>640</v>
      </c>
      <c r="G194" s="1">
        <v>8</v>
      </c>
      <c r="H194" s="1">
        <v>13</v>
      </c>
      <c r="I194" s="1">
        <v>6280</v>
      </c>
      <c r="J194" s="1">
        <v>2</v>
      </c>
      <c r="K194" s="1">
        <v>4</v>
      </c>
      <c r="L194" s="1">
        <v>5</v>
      </c>
    </row>
    <row r="195" spans="1:12" x14ac:dyDescent="0.25">
      <c r="A195" s="1" t="s">
        <v>456</v>
      </c>
      <c r="B195" s="1" t="s">
        <v>617</v>
      </c>
      <c r="C195" s="1" t="s">
        <v>627</v>
      </c>
      <c r="D195" s="1" t="s">
        <v>637</v>
      </c>
      <c r="E195" s="1">
        <v>36</v>
      </c>
      <c r="F195" s="1" t="s">
        <v>639</v>
      </c>
      <c r="G195" s="1">
        <v>8</v>
      </c>
      <c r="H195" s="1">
        <v>11</v>
      </c>
      <c r="I195" s="1">
        <v>5840</v>
      </c>
      <c r="J195" s="1">
        <v>3</v>
      </c>
      <c r="K195" s="1">
        <v>3</v>
      </c>
      <c r="L195" s="1">
        <v>4</v>
      </c>
    </row>
    <row r="196" spans="1:12" x14ac:dyDescent="0.25">
      <c r="A196" s="1" t="s">
        <v>552</v>
      </c>
      <c r="B196" s="1" t="s">
        <v>617</v>
      </c>
      <c r="C196" s="1" t="s">
        <v>627</v>
      </c>
      <c r="D196" s="1" t="s">
        <v>638</v>
      </c>
      <c r="E196" s="1">
        <v>27</v>
      </c>
      <c r="F196" s="1" t="s">
        <v>642</v>
      </c>
      <c r="G196" s="1">
        <v>8</v>
      </c>
      <c r="H196" s="1">
        <v>9</v>
      </c>
      <c r="I196" s="1">
        <v>5690</v>
      </c>
      <c r="J196" s="1">
        <v>3</v>
      </c>
      <c r="K196" s="1">
        <v>3</v>
      </c>
      <c r="L196" s="1">
        <v>11</v>
      </c>
    </row>
    <row r="197" spans="1:12" x14ac:dyDescent="0.25">
      <c r="A197" s="1" t="s">
        <v>186</v>
      </c>
      <c r="B197" s="1" t="s">
        <v>616</v>
      </c>
      <c r="C197" s="1" t="s">
        <v>624</v>
      </c>
      <c r="D197" s="1" t="s">
        <v>637</v>
      </c>
      <c r="E197" s="1">
        <v>37</v>
      </c>
      <c r="F197" s="1" t="s">
        <v>640</v>
      </c>
      <c r="G197" s="1">
        <v>8</v>
      </c>
      <c r="H197" s="1">
        <v>8</v>
      </c>
      <c r="I197" s="1">
        <v>5100</v>
      </c>
      <c r="J197" s="1">
        <v>4</v>
      </c>
      <c r="K197" s="1">
        <v>1</v>
      </c>
      <c r="L197" s="1">
        <v>7</v>
      </c>
    </row>
    <row r="198" spans="1:12" x14ac:dyDescent="0.25">
      <c r="A198" s="1" t="s">
        <v>592</v>
      </c>
      <c r="B198" s="1" t="s">
        <v>615</v>
      </c>
      <c r="C198" s="1" t="s">
        <v>629</v>
      </c>
      <c r="D198" s="1" t="s">
        <v>638</v>
      </c>
      <c r="E198" s="1">
        <v>58</v>
      </c>
      <c r="F198" s="1" t="s">
        <v>640</v>
      </c>
      <c r="G198" s="1">
        <v>7</v>
      </c>
      <c r="H198" s="1">
        <v>35</v>
      </c>
      <c r="I198" s="1">
        <v>11340</v>
      </c>
      <c r="J198" s="1">
        <v>4</v>
      </c>
      <c r="K198" s="1">
        <v>3</v>
      </c>
      <c r="L198" s="1">
        <v>0</v>
      </c>
    </row>
    <row r="199" spans="1:12" x14ac:dyDescent="0.25">
      <c r="A199" s="1" t="s">
        <v>255</v>
      </c>
      <c r="B199" s="1" t="s">
        <v>614</v>
      </c>
      <c r="C199" s="1" t="s">
        <v>632</v>
      </c>
      <c r="D199" s="1" t="s">
        <v>638</v>
      </c>
      <c r="E199" s="1">
        <v>39</v>
      </c>
      <c r="F199" s="1" t="s">
        <v>642</v>
      </c>
      <c r="G199" s="1">
        <v>7</v>
      </c>
      <c r="H199" s="1">
        <v>17</v>
      </c>
      <c r="I199" s="1">
        <v>10220</v>
      </c>
      <c r="J199" s="1">
        <v>3</v>
      </c>
      <c r="K199" s="1">
        <v>5</v>
      </c>
      <c r="L199" s="1">
        <v>0</v>
      </c>
    </row>
    <row r="200" spans="1:12" x14ac:dyDescent="0.25">
      <c r="A200" s="1" t="s">
        <v>375</v>
      </c>
      <c r="B200" s="1" t="s">
        <v>614</v>
      </c>
      <c r="C200" s="1" t="s">
        <v>633</v>
      </c>
      <c r="D200" s="1" t="s">
        <v>638</v>
      </c>
      <c r="E200" s="1">
        <v>55</v>
      </c>
      <c r="F200" s="1" t="s">
        <v>642</v>
      </c>
      <c r="G200" s="1">
        <v>7</v>
      </c>
      <c r="H200" s="1">
        <v>33</v>
      </c>
      <c r="I200" s="1">
        <v>10010</v>
      </c>
      <c r="J200" s="1">
        <v>5</v>
      </c>
      <c r="K200" s="1">
        <v>3</v>
      </c>
      <c r="L200" s="1">
        <v>12</v>
      </c>
    </row>
    <row r="201" spans="1:12" x14ac:dyDescent="0.25">
      <c r="A201" s="1" t="s">
        <v>595</v>
      </c>
      <c r="B201" s="1" t="s">
        <v>615</v>
      </c>
      <c r="C201" s="1" t="s">
        <v>625</v>
      </c>
      <c r="D201" s="1" t="s">
        <v>637</v>
      </c>
      <c r="E201" s="1">
        <v>52</v>
      </c>
      <c r="F201" s="1" t="s">
        <v>642</v>
      </c>
      <c r="G201" s="1">
        <v>7</v>
      </c>
      <c r="H201" s="1">
        <v>29</v>
      </c>
      <c r="I201" s="1">
        <v>9800</v>
      </c>
      <c r="J201" s="1">
        <v>2</v>
      </c>
      <c r="K201" s="1">
        <v>2</v>
      </c>
      <c r="L201" s="1">
        <v>14</v>
      </c>
    </row>
    <row r="202" spans="1:12" x14ac:dyDescent="0.25">
      <c r="A202" s="1" t="s">
        <v>532</v>
      </c>
      <c r="B202" s="1" t="s">
        <v>614</v>
      </c>
      <c r="C202" s="1" t="s">
        <v>633</v>
      </c>
      <c r="D202" s="1" t="s">
        <v>637</v>
      </c>
      <c r="E202" s="1">
        <v>51</v>
      </c>
      <c r="F202" s="1" t="s">
        <v>639</v>
      </c>
      <c r="G202" s="1">
        <v>7</v>
      </c>
      <c r="H202" s="1">
        <v>30</v>
      </c>
      <c r="I202" s="1">
        <v>9550</v>
      </c>
      <c r="J202" s="1">
        <v>3</v>
      </c>
      <c r="K202" s="1">
        <v>3</v>
      </c>
      <c r="L202" s="1">
        <v>17</v>
      </c>
    </row>
    <row r="203" spans="1:12" x14ac:dyDescent="0.25">
      <c r="A203" s="1" t="s">
        <v>265</v>
      </c>
      <c r="B203" s="1" t="s">
        <v>616</v>
      </c>
      <c r="C203" s="1" t="s">
        <v>636</v>
      </c>
      <c r="D203" s="1" t="s">
        <v>638</v>
      </c>
      <c r="E203" s="1">
        <v>51</v>
      </c>
      <c r="F203" s="1" t="s">
        <v>639</v>
      </c>
      <c r="G203" s="1">
        <v>7</v>
      </c>
      <c r="H203" s="1">
        <v>30</v>
      </c>
      <c r="I203" s="1">
        <v>9200</v>
      </c>
      <c r="J203" s="1">
        <v>1</v>
      </c>
      <c r="K203" s="1">
        <v>4</v>
      </c>
      <c r="L203" s="1">
        <v>5</v>
      </c>
    </row>
    <row r="204" spans="1:12" x14ac:dyDescent="0.25">
      <c r="A204" s="1" t="s">
        <v>308</v>
      </c>
      <c r="B204" s="1" t="s">
        <v>613</v>
      </c>
      <c r="C204" s="1" t="s">
        <v>623</v>
      </c>
      <c r="D204" s="1" t="s">
        <v>637</v>
      </c>
      <c r="E204" s="1">
        <v>57</v>
      </c>
      <c r="F204" s="1" t="s">
        <v>640</v>
      </c>
      <c r="G204" s="1">
        <v>7</v>
      </c>
      <c r="H204" s="1">
        <v>33</v>
      </c>
      <c r="I204" s="1">
        <v>9190</v>
      </c>
      <c r="J204" s="1">
        <v>3</v>
      </c>
      <c r="K204" s="1">
        <v>2</v>
      </c>
      <c r="L204" s="1">
        <v>15</v>
      </c>
    </row>
    <row r="205" spans="1:12" x14ac:dyDescent="0.25">
      <c r="A205" s="1" t="s">
        <v>442</v>
      </c>
      <c r="B205" s="1" t="s">
        <v>612</v>
      </c>
      <c r="C205" s="1" t="s">
        <v>630</v>
      </c>
      <c r="D205" s="1" t="s">
        <v>638</v>
      </c>
      <c r="E205" s="1">
        <v>41</v>
      </c>
      <c r="F205" s="1" t="s">
        <v>639</v>
      </c>
      <c r="G205" s="1">
        <v>7</v>
      </c>
      <c r="H205" s="1">
        <v>21</v>
      </c>
      <c r="I205" s="1">
        <v>9150</v>
      </c>
      <c r="J205" s="1">
        <v>3</v>
      </c>
      <c r="K205" s="1">
        <v>5</v>
      </c>
      <c r="L205" s="1">
        <v>11</v>
      </c>
    </row>
    <row r="206" spans="1:12" x14ac:dyDescent="0.25">
      <c r="A206" s="1" t="s">
        <v>498</v>
      </c>
      <c r="B206" s="1" t="s">
        <v>614</v>
      </c>
      <c r="C206" s="1" t="s">
        <v>633</v>
      </c>
      <c r="D206" s="1" t="s">
        <v>638</v>
      </c>
      <c r="E206" s="1">
        <v>45</v>
      </c>
      <c r="F206" s="1" t="s">
        <v>640</v>
      </c>
      <c r="G206" s="1">
        <v>7</v>
      </c>
      <c r="H206" s="1">
        <v>19</v>
      </c>
      <c r="I206" s="1">
        <v>9080</v>
      </c>
      <c r="J206" s="1">
        <v>3</v>
      </c>
      <c r="K206" s="1">
        <v>4</v>
      </c>
      <c r="L206" s="1">
        <v>0</v>
      </c>
    </row>
    <row r="207" spans="1:12" x14ac:dyDescent="0.25">
      <c r="A207" s="1" t="s">
        <v>123</v>
      </c>
      <c r="B207" s="1" t="s">
        <v>615</v>
      </c>
      <c r="C207" s="1" t="s">
        <v>629</v>
      </c>
      <c r="D207" s="1" t="s">
        <v>638</v>
      </c>
      <c r="E207" s="1">
        <v>33</v>
      </c>
      <c r="F207" s="1" t="s">
        <v>640</v>
      </c>
      <c r="G207" s="1">
        <v>7</v>
      </c>
      <c r="H207" s="1">
        <v>16</v>
      </c>
      <c r="I207" s="1">
        <v>9060</v>
      </c>
      <c r="J207" s="1">
        <v>4</v>
      </c>
      <c r="K207" s="1">
        <v>4</v>
      </c>
      <c r="L207" s="1">
        <v>13</v>
      </c>
    </row>
    <row r="208" spans="1:12" x14ac:dyDescent="0.25">
      <c r="A208" s="1" t="s">
        <v>470</v>
      </c>
      <c r="B208" s="1" t="s">
        <v>616</v>
      </c>
      <c r="C208" s="1" t="s">
        <v>636</v>
      </c>
      <c r="D208" s="1" t="s">
        <v>638</v>
      </c>
      <c r="E208" s="1">
        <v>51</v>
      </c>
      <c r="F208" s="1" t="s">
        <v>642</v>
      </c>
      <c r="G208" s="1">
        <v>7</v>
      </c>
      <c r="H208" s="1">
        <v>32</v>
      </c>
      <c r="I208" s="1">
        <v>8870</v>
      </c>
      <c r="J208" s="1">
        <v>3</v>
      </c>
      <c r="K208" s="1">
        <v>2</v>
      </c>
      <c r="L208" s="1">
        <v>16</v>
      </c>
    </row>
    <row r="209" spans="1:12" x14ac:dyDescent="0.25">
      <c r="A209" s="1" t="s">
        <v>509</v>
      </c>
      <c r="B209" s="1" t="s">
        <v>613</v>
      </c>
      <c r="C209" s="1" t="s">
        <v>631</v>
      </c>
      <c r="D209" s="1" t="s">
        <v>637</v>
      </c>
      <c r="E209" s="1">
        <v>50</v>
      </c>
      <c r="F209" s="1" t="s">
        <v>639</v>
      </c>
      <c r="G209" s="1">
        <v>7</v>
      </c>
      <c r="H209" s="1">
        <v>25</v>
      </c>
      <c r="I209" s="1">
        <v>8780</v>
      </c>
      <c r="J209" s="1">
        <v>4</v>
      </c>
      <c r="K209" s="1">
        <v>4</v>
      </c>
      <c r="L209" s="1">
        <v>3</v>
      </c>
    </row>
    <row r="210" spans="1:12" x14ac:dyDescent="0.25">
      <c r="A210" s="1" t="s">
        <v>492</v>
      </c>
      <c r="B210" s="1" t="s">
        <v>616</v>
      </c>
      <c r="C210" s="1" t="s">
        <v>635</v>
      </c>
      <c r="D210" s="1" t="s">
        <v>637</v>
      </c>
      <c r="E210" s="1">
        <v>44</v>
      </c>
      <c r="F210" s="1" t="s">
        <v>639</v>
      </c>
      <c r="G210" s="1">
        <v>7</v>
      </c>
      <c r="H210" s="1">
        <v>20</v>
      </c>
      <c r="I210" s="1">
        <v>8610</v>
      </c>
      <c r="J210" s="1">
        <v>3</v>
      </c>
      <c r="K210" s="1">
        <v>3</v>
      </c>
      <c r="L210" s="1">
        <v>7</v>
      </c>
    </row>
    <row r="211" spans="1:12" x14ac:dyDescent="0.25">
      <c r="A211" s="1" t="s">
        <v>464</v>
      </c>
      <c r="B211" s="1" t="s">
        <v>613</v>
      </c>
      <c r="C211" s="1" t="s">
        <v>623</v>
      </c>
      <c r="D211" s="1" t="s">
        <v>638</v>
      </c>
      <c r="E211" s="1">
        <v>45</v>
      </c>
      <c r="F211" s="1" t="s">
        <v>642</v>
      </c>
      <c r="G211" s="1">
        <v>7</v>
      </c>
      <c r="H211" s="1">
        <v>20</v>
      </c>
      <c r="I211" s="1">
        <v>8250</v>
      </c>
      <c r="J211" s="1">
        <v>3</v>
      </c>
      <c r="K211" s="1">
        <v>5</v>
      </c>
      <c r="L211" s="1">
        <v>28</v>
      </c>
    </row>
    <row r="212" spans="1:12" x14ac:dyDescent="0.25">
      <c r="A212" s="1" t="s">
        <v>19</v>
      </c>
      <c r="B212" s="1" t="s">
        <v>615</v>
      </c>
      <c r="C212" s="1" t="s">
        <v>625</v>
      </c>
      <c r="D212" s="1" t="s">
        <v>637</v>
      </c>
      <c r="E212" s="1">
        <v>48</v>
      </c>
      <c r="F212" s="1" t="s">
        <v>639</v>
      </c>
      <c r="G212" s="1">
        <v>7</v>
      </c>
      <c r="H212" s="1">
        <v>20</v>
      </c>
      <c r="I212" s="1">
        <v>8210</v>
      </c>
      <c r="J212" s="1">
        <v>4</v>
      </c>
      <c r="K212" s="1">
        <v>4</v>
      </c>
      <c r="L212" s="1">
        <v>5</v>
      </c>
    </row>
    <row r="213" spans="1:12" x14ac:dyDescent="0.25">
      <c r="A213" s="1" t="s">
        <v>311</v>
      </c>
      <c r="B213" s="1" t="s">
        <v>613</v>
      </c>
      <c r="C213" s="1" t="s">
        <v>623</v>
      </c>
      <c r="D213" s="1" t="s">
        <v>637</v>
      </c>
      <c r="E213" s="1">
        <v>39</v>
      </c>
      <c r="F213" s="1" t="s">
        <v>641</v>
      </c>
      <c r="G213" s="1">
        <v>7</v>
      </c>
      <c r="H213" s="1">
        <v>16</v>
      </c>
      <c r="I213" s="1">
        <v>8200</v>
      </c>
      <c r="J213" s="1">
        <v>5</v>
      </c>
      <c r="K213" s="1">
        <v>1</v>
      </c>
      <c r="L213" s="1">
        <v>9</v>
      </c>
    </row>
    <row r="214" spans="1:12" x14ac:dyDescent="0.25">
      <c r="A214" s="1" t="s">
        <v>277</v>
      </c>
      <c r="B214" s="1" t="s">
        <v>616</v>
      </c>
      <c r="C214" s="1" t="s">
        <v>635</v>
      </c>
      <c r="D214" s="1" t="s">
        <v>637</v>
      </c>
      <c r="E214" s="1">
        <v>33</v>
      </c>
      <c r="F214" s="1" t="s">
        <v>640</v>
      </c>
      <c r="G214" s="1">
        <v>7</v>
      </c>
      <c r="H214" s="1">
        <v>12</v>
      </c>
      <c r="I214" s="1">
        <v>7540</v>
      </c>
      <c r="J214" s="1">
        <v>1</v>
      </c>
      <c r="K214" s="1">
        <v>4</v>
      </c>
      <c r="L214" s="1">
        <v>11</v>
      </c>
    </row>
    <row r="215" spans="1:12" x14ac:dyDescent="0.25">
      <c r="A215" s="1" t="s">
        <v>218</v>
      </c>
      <c r="B215" s="1" t="s">
        <v>612</v>
      </c>
      <c r="C215" s="1" t="s">
        <v>618</v>
      </c>
      <c r="D215" s="1" t="s">
        <v>638</v>
      </c>
      <c r="E215" s="1">
        <v>41</v>
      </c>
      <c r="F215" s="1" t="s">
        <v>639</v>
      </c>
      <c r="G215" s="1">
        <v>7</v>
      </c>
      <c r="H215" s="1">
        <v>12</v>
      </c>
      <c r="I215" s="1">
        <v>7460</v>
      </c>
      <c r="J215" s="1">
        <v>3</v>
      </c>
      <c r="K215" s="1">
        <v>4</v>
      </c>
      <c r="L215" s="1">
        <v>0</v>
      </c>
    </row>
    <row r="216" spans="1:12" x14ac:dyDescent="0.25">
      <c r="A216" s="1" t="s">
        <v>388</v>
      </c>
      <c r="B216" s="1" t="s">
        <v>614</v>
      </c>
      <c r="C216" s="1" t="s">
        <v>621</v>
      </c>
      <c r="D216" s="1" t="s">
        <v>638</v>
      </c>
      <c r="E216" s="1">
        <v>37</v>
      </c>
      <c r="F216" s="1" t="s">
        <v>640</v>
      </c>
      <c r="G216" s="1">
        <v>7</v>
      </c>
      <c r="H216" s="1">
        <v>12</v>
      </c>
      <c r="I216" s="1">
        <v>7440</v>
      </c>
      <c r="J216" s="1">
        <v>3</v>
      </c>
      <c r="K216" s="1">
        <v>3</v>
      </c>
      <c r="L216" s="1">
        <v>18</v>
      </c>
    </row>
    <row r="217" spans="1:12" x14ac:dyDescent="0.25">
      <c r="A217" s="1" t="s">
        <v>345</v>
      </c>
      <c r="B217" s="1" t="s">
        <v>616</v>
      </c>
      <c r="C217" s="1" t="s">
        <v>636</v>
      </c>
      <c r="D217" s="1" t="s">
        <v>638</v>
      </c>
      <c r="E217" s="1">
        <v>35</v>
      </c>
      <c r="F217" s="1" t="s">
        <v>642</v>
      </c>
      <c r="G217" s="1">
        <v>7</v>
      </c>
      <c r="H217" s="1">
        <v>15</v>
      </c>
      <c r="I217" s="1">
        <v>7310</v>
      </c>
      <c r="J217" s="1">
        <v>3</v>
      </c>
      <c r="K217" s="1">
        <v>1</v>
      </c>
      <c r="L217" s="1">
        <v>20</v>
      </c>
    </row>
    <row r="218" spans="1:12" x14ac:dyDescent="0.25">
      <c r="A218" s="1" t="s">
        <v>31</v>
      </c>
      <c r="B218" s="1" t="s">
        <v>612</v>
      </c>
      <c r="C218" s="1" t="s">
        <v>630</v>
      </c>
      <c r="D218" s="1" t="s">
        <v>638</v>
      </c>
      <c r="E218" s="1">
        <v>28</v>
      </c>
      <c r="F218" s="1" t="s">
        <v>639</v>
      </c>
      <c r="G218" s="1">
        <v>7</v>
      </c>
      <c r="H218" s="1">
        <v>8</v>
      </c>
      <c r="I218" s="1">
        <v>7300</v>
      </c>
      <c r="J218" s="1">
        <v>4</v>
      </c>
      <c r="K218" s="1">
        <v>4</v>
      </c>
      <c r="L218" s="1">
        <v>1</v>
      </c>
    </row>
    <row r="219" spans="1:12" x14ac:dyDescent="0.25">
      <c r="A219" s="1" t="s">
        <v>188</v>
      </c>
      <c r="B219" s="1" t="s">
        <v>612</v>
      </c>
      <c r="C219" s="1" t="s">
        <v>618</v>
      </c>
      <c r="D219" s="1" t="s">
        <v>638</v>
      </c>
      <c r="E219" s="1">
        <v>43</v>
      </c>
      <c r="F219" s="1" t="s">
        <v>642</v>
      </c>
      <c r="G219" s="1">
        <v>7</v>
      </c>
      <c r="H219" s="1">
        <v>21</v>
      </c>
      <c r="I219" s="1">
        <v>7260</v>
      </c>
      <c r="J219" s="1">
        <v>2</v>
      </c>
      <c r="K219" s="1">
        <v>1</v>
      </c>
      <c r="L219" s="1">
        <v>11</v>
      </c>
    </row>
    <row r="220" spans="1:12" x14ac:dyDescent="0.25">
      <c r="A220" s="1" t="s">
        <v>424</v>
      </c>
      <c r="B220" s="1" t="s">
        <v>617</v>
      </c>
      <c r="C220" s="1" t="s">
        <v>627</v>
      </c>
      <c r="D220" s="1" t="s">
        <v>637</v>
      </c>
      <c r="E220" s="1">
        <v>48</v>
      </c>
      <c r="F220" s="1" t="s">
        <v>642</v>
      </c>
      <c r="G220" s="1">
        <v>7</v>
      </c>
      <c r="H220" s="1">
        <v>21</v>
      </c>
      <c r="I220" s="1">
        <v>7240</v>
      </c>
      <c r="J220" s="1">
        <v>3</v>
      </c>
      <c r="K220" s="1">
        <v>3</v>
      </c>
      <c r="L220" s="1">
        <v>4</v>
      </c>
    </row>
    <row r="221" spans="1:12" x14ac:dyDescent="0.25">
      <c r="A221" s="1" t="s">
        <v>569</v>
      </c>
      <c r="B221" s="1" t="s">
        <v>613</v>
      </c>
      <c r="C221" s="1" t="s">
        <v>623</v>
      </c>
      <c r="D221" s="1" t="s">
        <v>637</v>
      </c>
      <c r="E221" s="1">
        <v>31</v>
      </c>
      <c r="F221" s="1" t="s">
        <v>639</v>
      </c>
      <c r="G221" s="1">
        <v>7</v>
      </c>
      <c r="H221" s="1">
        <v>7</v>
      </c>
      <c r="I221" s="1">
        <v>7210</v>
      </c>
      <c r="J221" s="1">
        <v>3</v>
      </c>
      <c r="K221" s="1">
        <v>5</v>
      </c>
      <c r="L221" s="1">
        <v>6</v>
      </c>
    </row>
    <row r="222" spans="1:12" x14ac:dyDescent="0.25">
      <c r="A222" s="1" t="s">
        <v>18</v>
      </c>
      <c r="B222" s="1" t="s">
        <v>616</v>
      </c>
      <c r="C222" s="1" t="s">
        <v>624</v>
      </c>
      <c r="D222" s="1" t="s">
        <v>637</v>
      </c>
      <c r="E222" s="1">
        <v>45</v>
      </c>
      <c r="F222" s="1" t="s">
        <v>639</v>
      </c>
      <c r="G222" s="1">
        <v>7</v>
      </c>
      <c r="H222" s="1">
        <v>17</v>
      </c>
      <c r="I222" s="1">
        <v>7120</v>
      </c>
      <c r="J222" s="1">
        <v>4</v>
      </c>
      <c r="K222" s="1">
        <v>4</v>
      </c>
      <c r="L222" s="1">
        <v>4</v>
      </c>
    </row>
    <row r="223" spans="1:12" x14ac:dyDescent="0.25">
      <c r="A223" s="1" t="s">
        <v>126</v>
      </c>
      <c r="B223" s="1" t="s">
        <v>614</v>
      </c>
      <c r="C223" s="1" t="s">
        <v>633</v>
      </c>
      <c r="D223" s="1" t="s">
        <v>637</v>
      </c>
      <c r="E223" s="1">
        <v>37</v>
      </c>
      <c r="F223" s="1" t="s">
        <v>640</v>
      </c>
      <c r="G223" s="1">
        <v>7</v>
      </c>
      <c r="H223" s="1">
        <v>9</v>
      </c>
      <c r="I223" s="1">
        <v>7120</v>
      </c>
      <c r="J223" s="1">
        <v>1</v>
      </c>
      <c r="K223" s="1">
        <v>3</v>
      </c>
      <c r="L223" s="1">
        <v>5</v>
      </c>
    </row>
    <row r="224" spans="1:12" x14ac:dyDescent="0.25">
      <c r="A224" s="1" t="s">
        <v>223</v>
      </c>
      <c r="B224" s="1" t="s">
        <v>617</v>
      </c>
      <c r="C224" s="1" t="s">
        <v>634</v>
      </c>
      <c r="D224" s="1" t="s">
        <v>637</v>
      </c>
      <c r="E224" s="1">
        <v>46</v>
      </c>
      <c r="F224" s="1" t="s">
        <v>642</v>
      </c>
      <c r="G224" s="1">
        <v>7</v>
      </c>
      <c r="H224" s="1">
        <v>23</v>
      </c>
      <c r="I224" s="1">
        <v>7060</v>
      </c>
      <c r="J224" s="1">
        <v>5</v>
      </c>
      <c r="K224" s="1">
        <v>4</v>
      </c>
      <c r="L224" s="1">
        <v>21</v>
      </c>
    </row>
    <row r="225" spans="1:12" x14ac:dyDescent="0.25">
      <c r="A225" s="1" t="s">
        <v>363</v>
      </c>
      <c r="B225" s="1" t="s">
        <v>616</v>
      </c>
      <c r="C225" s="1" t="s">
        <v>624</v>
      </c>
      <c r="D225" s="1" t="s">
        <v>637</v>
      </c>
      <c r="E225" s="1">
        <v>38</v>
      </c>
      <c r="F225" s="1" t="s">
        <v>639</v>
      </c>
      <c r="G225" s="1">
        <v>7</v>
      </c>
      <c r="H225" s="1">
        <v>17</v>
      </c>
      <c r="I225" s="1">
        <v>6890</v>
      </c>
      <c r="J225" s="1">
        <v>4</v>
      </c>
      <c r="K225" s="1">
        <v>5</v>
      </c>
      <c r="L225" s="1">
        <v>3</v>
      </c>
    </row>
    <row r="226" spans="1:12" x14ac:dyDescent="0.25">
      <c r="A226" s="1" t="s">
        <v>409</v>
      </c>
      <c r="B226" s="1" t="s">
        <v>616</v>
      </c>
      <c r="C226" s="1" t="s">
        <v>635</v>
      </c>
      <c r="D226" s="1" t="s">
        <v>638</v>
      </c>
      <c r="E226" s="1">
        <v>30</v>
      </c>
      <c r="F226" s="1" t="s">
        <v>639</v>
      </c>
      <c r="G226" s="1">
        <v>7</v>
      </c>
      <c r="H226" s="1">
        <v>8</v>
      </c>
      <c r="I226" s="1">
        <v>6820</v>
      </c>
      <c r="J226" s="1">
        <v>5</v>
      </c>
      <c r="K226" s="1">
        <v>4</v>
      </c>
      <c r="L226" s="1">
        <v>13</v>
      </c>
    </row>
    <row r="227" spans="1:12" x14ac:dyDescent="0.25">
      <c r="A227" s="1" t="s">
        <v>516</v>
      </c>
      <c r="B227" s="1" t="s">
        <v>613</v>
      </c>
      <c r="C227" s="1" t="s">
        <v>631</v>
      </c>
      <c r="D227" s="1" t="s">
        <v>638</v>
      </c>
      <c r="E227" s="1">
        <v>39</v>
      </c>
      <c r="F227" s="1" t="s">
        <v>639</v>
      </c>
      <c r="G227" s="1">
        <v>7</v>
      </c>
      <c r="H227" s="1">
        <v>16</v>
      </c>
      <c r="I227" s="1">
        <v>6820</v>
      </c>
      <c r="J227" s="1">
        <v>1</v>
      </c>
      <c r="K227" s="1">
        <v>5</v>
      </c>
      <c r="L227" s="1">
        <v>10</v>
      </c>
    </row>
    <row r="228" spans="1:12" x14ac:dyDescent="0.25">
      <c r="A228" s="1" t="s">
        <v>194</v>
      </c>
      <c r="B228" s="1" t="s">
        <v>615</v>
      </c>
      <c r="C228" s="1" t="s">
        <v>625</v>
      </c>
      <c r="D228" s="1" t="s">
        <v>637</v>
      </c>
      <c r="E228" s="1">
        <v>33</v>
      </c>
      <c r="F228" s="1" t="s">
        <v>640</v>
      </c>
      <c r="G228" s="1">
        <v>7</v>
      </c>
      <c r="H228" s="1">
        <v>12</v>
      </c>
      <c r="I228" s="1">
        <v>6800</v>
      </c>
      <c r="J228" s="1">
        <v>2</v>
      </c>
      <c r="K228" s="1">
        <v>3</v>
      </c>
      <c r="L228" s="1">
        <v>12</v>
      </c>
    </row>
    <row r="229" spans="1:12" x14ac:dyDescent="0.25">
      <c r="A229" s="1" t="s">
        <v>539</v>
      </c>
      <c r="B229" s="1" t="s">
        <v>614</v>
      </c>
      <c r="C229" s="1" t="s">
        <v>626</v>
      </c>
      <c r="D229" s="1" t="s">
        <v>638</v>
      </c>
      <c r="E229" s="1">
        <v>32</v>
      </c>
      <c r="F229" s="1" t="s">
        <v>640</v>
      </c>
      <c r="G229" s="1">
        <v>7</v>
      </c>
      <c r="H229" s="1">
        <v>9</v>
      </c>
      <c r="I229" s="1">
        <v>6790</v>
      </c>
      <c r="J229" s="1">
        <v>3</v>
      </c>
      <c r="K229" s="1">
        <v>4</v>
      </c>
      <c r="L229" s="1">
        <v>9</v>
      </c>
    </row>
    <row r="230" spans="1:12" x14ac:dyDescent="0.25">
      <c r="A230" s="1" t="s">
        <v>163</v>
      </c>
      <c r="B230" s="1" t="s">
        <v>613</v>
      </c>
      <c r="C230" s="1" t="s">
        <v>631</v>
      </c>
      <c r="D230" s="1" t="s">
        <v>638</v>
      </c>
      <c r="E230" s="1">
        <v>46</v>
      </c>
      <c r="F230" s="1" t="s">
        <v>639</v>
      </c>
      <c r="G230" s="1">
        <v>7</v>
      </c>
      <c r="H230" s="1">
        <v>17</v>
      </c>
      <c r="I230" s="1">
        <v>6780</v>
      </c>
      <c r="J230" s="1">
        <v>4</v>
      </c>
      <c r="K230" s="1">
        <v>3</v>
      </c>
      <c r="L230" s="1">
        <v>5</v>
      </c>
    </row>
    <row r="231" spans="1:12" x14ac:dyDescent="0.25">
      <c r="A231" s="1" t="s">
        <v>607</v>
      </c>
      <c r="B231" s="1" t="s">
        <v>613</v>
      </c>
      <c r="C231" s="1" t="s">
        <v>631</v>
      </c>
      <c r="D231" s="1" t="s">
        <v>638</v>
      </c>
      <c r="E231" s="1">
        <v>39</v>
      </c>
      <c r="F231" s="1" t="s">
        <v>639</v>
      </c>
      <c r="G231" s="1">
        <v>7</v>
      </c>
      <c r="H231" s="1">
        <v>14</v>
      </c>
      <c r="I231" s="1">
        <v>6700</v>
      </c>
      <c r="J231" s="1">
        <v>3</v>
      </c>
      <c r="K231" s="1">
        <v>5</v>
      </c>
      <c r="L231" s="1">
        <v>8</v>
      </c>
    </row>
    <row r="232" spans="1:12" x14ac:dyDescent="0.25">
      <c r="A232" s="1" t="s">
        <v>262</v>
      </c>
      <c r="B232" s="1" t="s">
        <v>616</v>
      </c>
      <c r="C232" s="1" t="s">
        <v>624</v>
      </c>
      <c r="D232" s="1" t="s">
        <v>638</v>
      </c>
      <c r="E232" s="1">
        <v>35</v>
      </c>
      <c r="F232" s="1" t="s">
        <v>640</v>
      </c>
      <c r="G232" s="1">
        <v>7</v>
      </c>
      <c r="H232" s="1">
        <v>13</v>
      </c>
      <c r="I232" s="1">
        <v>6590</v>
      </c>
      <c r="J232" s="1">
        <v>4</v>
      </c>
      <c r="K232" s="1">
        <v>4</v>
      </c>
      <c r="L232" s="1">
        <v>13</v>
      </c>
    </row>
    <row r="233" spans="1:12" x14ac:dyDescent="0.25">
      <c r="A233" s="1" t="s">
        <v>415</v>
      </c>
      <c r="B233" s="1" t="s">
        <v>615</v>
      </c>
      <c r="C233" s="1" t="s">
        <v>622</v>
      </c>
      <c r="D233" s="1" t="s">
        <v>637</v>
      </c>
      <c r="E233" s="1">
        <v>34</v>
      </c>
      <c r="F233" s="1" t="s">
        <v>639</v>
      </c>
      <c r="G233" s="1">
        <v>7</v>
      </c>
      <c r="H233" s="1">
        <v>9</v>
      </c>
      <c r="I233" s="1">
        <v>6530</v>
      </c>
      <c r="J233" s="1">
        <v>2</v>
      </c>
      <c r="K233" s="1">
        <v>4</v>
      </c>
      <c r="L233" s="1">
        <v>15</v>
      </c>
    </row>
    <row r="234" spans="1:12" x14ac:dyDescent="0.25">
      <c r="A234" s="1" t="s">
        <v>171</v>
      </c>
      <c r="B234" s="1" t="s">
        <v>613</v>
      </c>
      <c r="C234" s="1" t="s">
        <v>620</v>
      </c>
      <c r="D234" s="1" t="s">
        <v>637</v>
      </c>
      <c r="E234" s="1">
        <v>36</v>
      </c>
      <c r="F234" s="1" t="s">
        <v>640</v>
      </c>
      <c r="G234" s="1">
        <v>7</v>
      </c>
      <c r="H234" s="1">
        <v>17</v>
      </c>
      <c r="I234" s="1">
        <v>6350</v>
      </c>
      <c r="J234" s="1">
        <v>5</v>
      </c>
      <c r="K234" s="1">
        <v>5</v>
      </c>
      <c r="L234" s="1">
        <v>8</v>
      </c>
    </row>
    <row r="235" spans="1:12" x14ac:dyDescent="0.25">
      <c r="A235" s="1" t="s">
        <v>264</v>
      </c>
      <c r="B235" s="1" t="s">
        <v>616</v>
      </c>
      <c r="C235" s="1" t="s">
        <v>624</v>
      </c>
      <c r="D235" s="1" t="s">
        <v>637</v>
      </c>
      <c r="E235" s="1">
        <v>39</v>
      </c>
      <c r="F235" s="1" t="s">
        <v>642</v>
      </c>
      <c r="G235" s="1">
        <v>7</v>
      </c>
      <c r="H235" s="1">
        <v>13</v>
      </c>
      <c r="I235" s="1">
        <v>6120</v>
      </c>
      <c r="J235" s="1">
        <v>3</v>
      </c>
      <c r="K235" s="1">
        <v>2</v>
      </c>
      <c r="L235" s="1">
        <v>14</v>
      </c>
    </row>
    <row r="236" spans="1:12" x14ac:dyDescent="0.25">
      <c r="A236" s="1" t="s">
        <v>272</v>
      </c>
      <c r="B236" s="1" t="s">
        <v>616</v>
      </c>
      <c r="C236" s="1" t="s">
        <v>624</v>
      </c>
      <c r="D236" s="1" t="s">
        <v>638</v>
      </c>
      <c r="E236" s="1">
        <v>33</v>
      </c>
      <c r="F236" s="1" t="s">
        <v>640</v>
      </c>
      <c r="G236" s="1">
        <v>7</v>
      </c>
      <c r="H236" s="1">
        <v>7</v>
      </c>
      <c r="I236" s="1">
        <v>5740</v>
      </c>
      <c r="J236" s="1">
        <v>3</v>
      </c>
      <c r="K236" s="1">
        <v>2</v>
      </c>
      <c r="L236" s="1">
        <v>11</v>
      </c>
    </row>
    <row r="237" spans="1:12" x14ac:dyDescent="0.25">
      <c r="A237" s="1" t="s">
        <v>133</v>
      </c>
      <c r="B237" s="1" t="s">
        <v>613</v>
      </c>
      <c r="C237" s="1" t="s">
        <v>620</v>
      </c>
      <c r="D237" s="1" t="s">
        <v>637</v>
      </c>
      <c r="E237" s="1">
        <v>27</v>
      </c>
      <c r="F237" s="1" t="s">
        <v>639</v>
      </c>
      <c r="G237" s="1">
        <v>7</v>
      </c>
      <c r="H237" s="1">
        <v>7</v>
      </c>
      <c r="I237" s="1">
        <v>5720</v>
      </c>
      <c r="J237" s="1">
        <v>1</v>
      </c>
      <c r="K237" s="1">
        <v>4</v>
      </c>
      <c r="L237" s="1">
        <v>1</v>
      </c>
    </row>
    <row r="238" spans="1:12" x14ac:dyDescent="0.25">
      <c r="A238" s="1" t="s">
        <v>555</v>
      </c>
      <c r="B238" s="1" t="s">
        <v>617</v>
      </c>
      <c r="C238" s="1" t="s">
        <v>628</v>
      </c>
      <c r="D238" s="1" t="s">
        <v>638</v>
      </c>
      <c r="E238" s="1">
        <v>30</v>
      </c>
      <c r="F238" s="1" t="s">
        <v>642</v>
      </c>
      <c r="G238" s="1">
        <v>7</v>
      </c>
      <c r="H238" s="1">
        <v>7</v>
      </c>
      <c r="I238" s="1">
        <v>5610</v>
      </c>
      <c r="J238" s="1">
        <v>2</v>
      </c>
      <c r="K238" s="1">
        <v>4</v>
      </c>
      <c r="L238" s="1">
        <v>24</v>
      </c>
    </row>
    <row r="239" spans="1:12" x14ac:dyDescent="0.25">
      <c r="A239" s="1" t="s">
        <v>271</v>
      </c>
      <c r="B239" s="1" t="s">
        <v>613</v>
      </c>
      <c r="C239" s="1" t="s">
        <v>623</v>
      </c>
      <c r="D239" s="1" t="s">
        <v>638</v>
      </c>
      <c r="E239" s="1">
        <v>57</v>
      </c>
      <c r="F239" s="1" t="s">
        <v>639</v>
      </c>
      <c r="G239" s="1">
        <v>6</v>
      </c>
      <c r="H239" s="1">
        <v>36</v>
      </c>
      <c r="I239" s="1">
        <v>10880</v>
      </c>
      <c r="J239" s="1">
        <v>4</v>
      </c>
      <c r="K239" s="1">
        <v>1</v>
      </c>
      <c r="L239" s="1">
        <v>1</v>
      </c>
    </row>
    <row r="240" spans="1:12" x14ac:dyDescent="0.25">
      <c r="A240" s="1" t="s">
        <v>105</v>
      </c>
      <c r="B240" s="1" t="s">
        <v>617</v>
      </c>
      <c r="C240" s="1" t="s">
        <v>628</v>
      </c>
      <c r="D240" s="1" t="s">
        <v>637</v>
      </c>
      <c r="E240" s="1">
        <v>56</v>
      </c>
      <c r="F240" s="1" t="s">
        <v>639</v>
      </c>
      <c r="G240" s="1">
        <v>6</v>
      </c>
      <c r="H240" s="1">
        <v>36</v>
      </c>
      <c r="I240" s="1">
        <v>9840</v>
      </c>
      <c r="J240" s="1">
        <v>5</v>
      </c>
      <c r="K240" s="1">
        <v>2</v>
      </c>
      <c r="L240" s="1">
        <v>14</v>
      </c>
    </row>
    <row r="241" spans="1:12" x14ac:dyDescent="0.25">
      <c r="A241" s="1" t="s">
        <v>376</v>
      </c>
      <c r="B241" s="1" t="s">
        <v>613</v>
      </c>
      <c r="C241" s="1" t="s">
        <v>623</v>
      </c>
      <c r="D241" s="1" t="s">
        <v>638</v>
      </c>
      <c r="E241" s="1">
        <v>58</v>
      </c>
      <c r="F241" s="1" t="s">
        <v>639</v>
      </c>
      <c r="G241" s="1">
        <v>6</v>
      </c>
      <c r="H241" s="1">
        <v>40</v>
      </c>
      <c r="I241" s="1">
        <v>9440</v>
      </c>
      <c r="J241" s="1">
        <v>5</v>
      </c>
      <c r="K241" s="1">
        <v>3</v>
      </c>
      <c r="L241" s="1">
        <v>11</v>
      </c>
    </row>
    <row r="242" spans="1:12" x14ac:dyDescent="0.25">
      <c r="A242" s="1" t="s">
        <v>168</v>
      </c>
      <c r="B242" s="1" t="s">
        <v>614</v>
      </c>
      <c r="C242" s="1" t="s">
        <v>632</v>
      </c>
      <c r="D242" s="1" t="s">
        <v>638</v>
      </c>
      <c r="E242" s="1">
        <v>53</v>
      </c>
      <c r="F242" s="1" t="s">
        <v>642</v>
      </c>
      <c r="G242" s="1">
        <v>6</v>
      </c>
      <c r="H242" s="1">
        <v>26</v>
      </c>
      <c r="I242" s="1">
        <v>9420</v>
      </c>
      <c r="J242" s="1">
        <v>4</v>
      </c>
      <c r="K242" s="1">
        <v>3</v>
      </c>
      <c r="L242" s="1">
        <v>10</v>
      </c>
    </row>
    <row r="243" spans="1:12" x14ac:dyDescent="0.25">
      <c r="A243" s="1" t="s">
        <v>566</v>
      </c>
      <c r="B243" s="1" t="s">
        <v>612</v>
      </c>
      <c r="C243" s="1" t="s">
        <v>630</v>
      </c>
      <c r="D243" s="1" t="s">
        <v>638</v>
      </c>
      <c r="E243" s="1">
        <v>49</v>
      </c>
      <c r="F243" s="1" t="s">
        <v>640</v>
      </c>
      <c r="G243" s="1">
        <v>6</v>
      </c>
      <c r="H243" s="1">
        <v>24</v>
      </c>
      <c r="I243" s="1">
        <v>9370</v>
      </c>
      <c r="J243" s="1">
        <v>3</v>
      </c>
      <c r="K243" s="1">
        <v>4</v>
      </c>
      <c r="L243" s="1">
        <v>2</v>
      </c>
    </row>
    <row r="244" spans="1:12" x14ac:dyDescent="0.25">
      <c r="A244" s="1" t="s">
        <v>114</v>
      </c>
      <c r="B244" s="1" t="s">
        <v>616</v>
      </c>
      <c r="C244" s="1" t="s">
        <v>635</v>
      </c>
      <c r="D244" s="1" t="s">
        <v>638</v>
      </c>
      <c r="E244" s="1">
        <v>52</v>
      </c>
      <c r="F244" s="1" t="s">
        <v>642</v>
      </c>
      <c r="G244" s="1">
        <v>6</v>
      </c>
      <c r="H244" s="1">
        <v>30</v>
      </c>
      <c r="I244" s="1">
        <v>9330</v>
      </c>
      <c r="J244" s="1">
        <v>3</v>
      </c>
      <c r="K244" s="1">
        <v>3</v>
      </c>
      <c r="L244" s="1">
        <v>6</v>
      </c>
    </row>
    <row r="245" spans="1:12" x14ac:dyDescent="0.25">
      <c r="A245" s="1" t="s">
        <v>362</v>
      </c>
      <c r="B245" s="1" t="s">
        <v>613</v>
      </c>
      <c r="C245" s="1" t="s">
        <v>623</v>
      </c>
      <c r="D245" s="1" t="s">
        <v>637</v>
      </c>
      <c r="E245" s="1">
        <v>43</v>
      </c>
      <c r="F245" s="1" t="s">
        <v>641</v>
      </c>
      <c r="G245" s="1">
        <v>6</v>
      </c>
      <c r="H245" s="1">
        <v>21</v>
      </c>
      <c r="I245" s="1">
        <v>9220</v>
      </c>
      <c r="J245" s="1">
        <v>3</v>
      </c>
      <c r="K245" s="1">
        <v>3</v>
      </c>
      <c r="L245" s="1">
        <v>5</v>
      </c>
    </row>
    <row r="246" spans="1:12" x14ac:dyDescent="0.25">
      <c r="A246" s="1" t="s">
        <v>84</v>
      </c>
      <c r="B246" s="1" t="s">
        <v>613</v>
      </c>
      <c r="C246" s="1" t="s">
        <v>631</v>
      </c>
      <c r="D246" s="1" t="s">
        <v>638</v>
      </c>
      <c r="E246" s="1">
        <v>60</v>
      </c>
      <c r="F246" s="1" t="s">
        <v>642</v>
      </c>
      <c r="G246" s="1">
        <v>6</v>
      </c>
      <c r="H246" s="1">
        <v>33</v>
      </c>
      <c r="I246" s="1">
        <v>9150</v>
      </c>
      <c r="J246" s="1">
        <v>3</v>
      </c>
      <c r="K246" s="1">
        <v>2</v>
      </c>
      <c r="L246" s="1">
        <v>14</v>
      </c>
    </row>
    <row r="247" spans="1:12" x14ac:dyDescent="0.25">
      <c r="A247" s="1" t="s">
        <v>461</v>
      </c>
      <c r="B247" s="1" t="s">
        <v>616</v>
      </c>
      <c r="C247" s="1" t="s">
        <v>636</v>
      </c>
      <c r="D247" s="1" t="s">
        <v>638</v>
      </c>
      <c r="E247" s="1">
        <v>49</v>
      </c>
      <c r="F247" s="1" t="s">
        <v>639</v>
      </c>
      <c r="G247" s="1">
        <v>6</v>
      </c>
      <c r="H247" s="1">
        <v>29</v>
      </c>
      <c r="I247" s="1">
        <v>9010</v>
      </c>
      <c r="J247" s="1">
        <v>2</v>
      </c>
      <c r="K247" s="1">
        <v>2</v>
      </c>
      <c r="L247" s="1">
        <v>4</v>
      </c>
    </row>
    <row r="248" spans="1:12" x14ac:dyDescent="0.25">
      <c r="A248" s="1" t="s">
        <v>541</v>
      </c>
      <c r="B248" s="1" t="s">
        <v>613</v>
      </c>
      <c r="C248" s="1" t="s">
        <v>623</v>
      </c>
      <c r="D248" s="1" t="s">
        <v>637</v>
      </c>
      <c r="E248" s="1">
        <v>48</v>
      </c>
      <c r="F248" s="1" t="s">
        <v>640</v>
      </c>
      <c r="G248" s="1">
        <v>6</v>
      </c>
      <c r="H248" s="1">
        <v>27</v>
      </c>
      <c r="I248" s="1">
        <v>8960</v>
      </c>
      <c r="J248" s="1">
        <v>5</v>
      </c>
      <c r="K248" s="1">
        <v>4</v>
      </c>
      <c r="L248" s="1">
        <v>0</v>
      </c>
    </row>
    <row r="249" spans="1:12" x14ac:dyDescent="0.25">
      <c r="A249" s="1" t="s">
        <v>42</v>
      </c>
      <c r="B249" s="1" t="s">
        <v>615</v>
      </c>
      <c r="C249" s="1" t="s">
        <v>625</v>
      </c>
      <c r="D249" s="1" t="s">
        <v>637</v>
      </c>
      <c r="E249" s="1">
        <v>46</v>
      </c>
      <c r="F249" s="1" t="s">
        <v>639</v>
      </c>
      <c r="G249" s="1">
        <v>6</v>
      </c>
      <c r="H249" s="1">
        <v>25</v>
      </c>
      <c r="I249" s="1">
        <v>8610</v>
      </c>
      <c r="J249" s="1">
        <v>5</v>
      </c>
      <c r="K249" s="1">
        <v>3</v>
      </c>
      <c r="L249" s="1">
        <v>11</v>
      </c>
    </row>
    <row r="250" spans="1:12" x14ac:dyDescent="0.25">
      <c r="A250" s="1" t="s">
        <v>110</v>
      </c>
      <c r="B250" s="1" t="s">
        <v>615</v>
      </c>
      <c r="C250" s="1" t="s">
        <v>629</v>
      </c>
      <c r="D250" s="1" t="s">
        <v>638</v>
      </c>
      <c r="E250" s="1">
        <v>52</v>
      </c>
      <c r="F250" s="1" t="s">
        <v>639</v>
      </c>
      <c r="G250" s="1">
        <v>6</v>
      </c>
      <c r="H250" s="1">
        <v>24</v>
      </c>
      <c r="I250" s="1">
        <v>8400</v>
      </c>
      <c r="J250" s="1">
        <v>2</v>
      </c>
      <c r="K250" s="1">
        <v>4</v>
      </c>
      <c r="L250" s="1">
        <v>8</v>
      </c>
    </row>
    <row r="251" spans="1:12" x14ac:dyDescent="0.25">
      <c r="A251" s="1" t="s">
        <v>351</v>
      </c>
      <c r="B251" s="1" t="s">
        <v>615</v>
      </c>
      <c r="C251" s="1" t="s">
        <v>625</v>
      </c>
      <c r="D251" s="1" t="s">
        <v>638</v>
      </c>
      <c r="E251" s="1">
        <v>45</v>
      </c>
      <c r="F251" s="1" t="s">
        <v>640</v>
      </c>
      <c r="G251" s="1">
        <v>6</v>
      </c>
      <c r="H251" s="1">
        <v>22</v>
      </c>
      <c r="I251" s="1">
        <v>8360</v>
      </c>
      <c r="J251" s="1">
        <v>3</v>
      </c>
      <c r="K251" s="1">
        <v>3</v>
      </c>
      <c r="L251" s="1">
        <v>14</v>
      </c>
    </row>
    <row r="252" spans="1:12" x14ac:dyDescent="0.25">
      <c r="A252" s="1" t="s">
        <v>124</v>
      </c>
      <c r="B252" s="1" t="s">
        <v>616</v>
      </c>
      <c r="C252" s="1" t="s">
        <v>624</v>
      </c>
      <c r="D252" s="1" t="s">
        <v>637</v>
      </c>
      <c r="E252" s="1">
        <v>56</v>
      </c>
      <c r="F252" s="1" t="s">
        <v>640</v>
      </c>
      <c r="G252" s="1">
        <v>6</v>
      </c>
      <c r="H252" s="1">
        <v>32</v>
      </c>
      <c r="I252" s="1">
        <v>8340</v>
      </c>
      <c r="J252" s="1">
        <v>4</v>
      </c>
      <c r="K252" s="1">
        <v>1</v>
      </c>
      <c r="L252" s="1">
        <v>14</v>
      </c>
    </row>
    <row r="253" spans="1:12" x14ac:dyDescent="0.25">
      <c r="A253" s="1" t="s">
        <v>489</v>
      </c>
      <c r="B253" s="1" t="s">
        <v>614</v>
      </c>
      <c r="C253" s="1" t="s">
        <v>633</v>
      </c>
      <c r="D253" s="1" t="s">
        <v>638</v>
      </c>
      <c r="E253" s="1">
        <v>34</v>
      </c>
      <c r="F253" s="1" t="s">
        <v>639</v>
      </c>
      <c r="G253" s="1">
        <v>6</v>
      </c>
      <c r="H253" s="1">
        <v>14</v>
      </c>
      <c r="I253" s="1">
        <v>8050</v>
      </c>
      <c r="J253" s="1">
        <v>3</v>
      </c>
      <c r="K253" s="1">
        <v>3</v>
      </c>
      <c r="L253" s="1">
        <v>16</v>
      </c>
    </row>
    <row r="254" spans="1:12" x14ac:dyDescent="0.25">
      <c r="A254" s="1" t="s">
        <v>208</v>
      </c>
      <c r="B254" s="1" t="s">
        <v>613</v>
      </c>
      <c r="C254" s="1" t="s">
        <v>620</v>
      </c>
      <c r="D254" s="1" t="s">
        <v>637</v>
      </c>
      <c r="E254" s="1">
        <v>50</v>
      </c>
      <c r="F254" s="1" t="s">
        <v>639</v>
      </c>
      <c r="G254" s="1">
        <v>6</v>
      </c>
      <c r="H254" s="1">
        <v>26</v>
      </c>
      <c r="I254" s="1">
        <v>7690</v>
      </c>
      <c r="J254" s="1">
        <v>3</v>
      </c>
      <c r="K254" s="1">
        <v>4</v>
      </c>
      <c r="L254" s="1">
        <v>13</v>
      </c>
    </row>
    <row r="255" spans="1:12" x14ac:dyDescent="0.25">
      <c r="A255" s="1" t="s">
        <v>520</v>
      </c>
      <c r="B255" s="1" t="s">
        <v>616</v>
      </c>
      <c r="C255" s="1" t="s">
        <v>624</v>
      </c>
      <c r="D255" s="1" t="s">
        <v>637</v>
      </c>
      <c r="E255" s="1">
        <v>47</v>
      </c>
      <c r="F255" s="1" t="s">
        <v>641</v>
      </c>
      <c r="G255" s="1">
        <v>6</v>
      </c>
      <c r="H255" s="1">
        <v>23</v>
      </c>
      <c r="I255" s="1">
        <v>7570</v>
      </c>
      <c r="J255" s="1">
        <v>3</v>
      </c>
      <c r="K255" s="1">
        <v>1</v>
      </c>
      <c r="L255" s="1">
        <v>13</v>
      </c>
    </row>
    <row r="256" spans="1:12" x14ac:dyDescent="0.25">
      <c r="A256" s="1" t="s">
        <v>553</v>
      </c>
      <c r="B256" s="1" t="s">
        <v>614</v>
      </c>
      <c r="C256" s="1" t="s">
        <v>633</v>
      </c>
      <c r="D256" s="1" t="s">
        <v>637</v>
      </c>
      <c r="E256" s="1">
        <v>31</v>
      </c>
      <c r="F256" s="1" t="s">
        <v>642</v>
      </c>
      <c r="G256" s="1">
        <v>6</v>
      </c>
      <c r="H256" s="1">
        <v>8</v>
      </c>
      <c r="I256" s="1">
        <v>7440</v>
      </c>
      <c r="J256" s="1">
        <v>4</v>
      </c>
      <c r="K256" s="1">
        <v>2</v>
      </c>
      <c r="L256" s="1">
        <v>14</v>
      </c>
    </row>
    <row r="257" spans="1:12" x14ac:dyDescent="0.25">
      <c r="A257" s="1" t="s">
        <v>447</v>
      </c>
      <c r="B257" s="1" t="s">
        <v>612</v>
      </c>
      <c r="C257" s="1" t="s">
        <v>630</v>
      </c>
      <c r="D257" s="1" t="s">
        <v>638</v>
      </c>
      <c r="E257" s="1">
        <v>33</v>
      </c>
      <c r="F257" s="1" t="s">
        <v>640</v>
      </c>
      <c r="G257" s="1">
        <v>6</v>
      </c>
      <c r="H257" s="1">
        <v>10</v>
      </c>
      <c r="I257" s="1">
        <v>7360</v>
      </c>
      <c r="J257" s="1">
        <v>3</v>
      </c>
      <c r="K257" s="1">
        <v>3</v>
      </c>
      <c r="L257" s="1">
        <v>10</v>
      </c>
    </row>
    <row r="258" spans="1:12" x14ac:dyDescent="0.25">
      <c r="A258" s="1" t="s">
        <v>468</v>
      </c>
      <c r="B258" s="1" t="s">
        <v>617</v>
      </c>
      <c r="C258" s="1" t="s">
        <v>627</v>
      </c>
      <c r="D258" s="1" t="s">
        <v>638</v>
      </c>
      <c r="E258" s="1">
        <v>47</v>
      </c>
      <c r="F258" s="1" t="s">
        <v>639</v>
      </c>
      <c r="G258" s="1">
        <v>6</v>
      </c>
      <c r="H258" s="1">
        <v>23</v>
      </c>
      <c r="I258" s="1">
        <v>7360</v>
      </c>
      <c r="J258" s="1">
        <v>3</v>
      </c>
      <c r="K258" s="1">
        <v>4</v>
      </c>
      <c r="L258" s="1">
        <v>19</v>
      </c>
    </row>
    <row r="259" spans="1:12" x14ac:dyDescent="0.25">
      <c r="A259" s="1" t="s">
        <v>72</v>
      </c>
      <c r="B259" s="1" t="s">
        <v>613</v>
      </c>
      <c r="C259" s="1" t="s">
        <v>620</v>
      </c>
      <c r="D259" s="1" t="s">
        <v>637</v>
      </c>
      <c r="E259" s="1">
        <v>46</v>
      </c>
      <c r="F259" s="1" t="s">
        <v>640</v>
      </c>
      <c r="G259" s="1">
        <v>6</v>
      </c>
      <c r="H259" s="1">
        <v>19</v>
      </c>
      <c r="I259" s="1">
        <v>7270</v>
      </c>
      <c r="J259" s="1">
        <v>1</v>
      </c>
      <c r="K259" s="1">
        <v>4</v>
      </c>
      <c r="L259" s="1">
        <v>15</v>
      </c>
    </row>
    <row r="260" spans="1:12" x14ac:dyDescent="0.25">
      <c r="A260" s="1" t="s">
        <v>214</v>
      </c>
      <c r="B260" s="1" t="s">
        <v>614</v>
      </c>
      <c r="C260" s="1" t="s">
        <v>621</v>
      </c>
      <c r="D260" s="1" t="s">
        <v>637</v>
      </c>
      <c r="E260" s="1">
        <v>30</v>
      </c>
      <c r="F260" s="1" t="s">
        <v>639</v>
      </c>
      <c r="G260" s="1">
        <v>6</v>
      </c>
      <c r="H260" s="1">
        <v>9</v>
      </c>
      <c r="I260" s="1">
        <v>7240</v>
      </c>
      <c r="J260" s="1">
        <v>4</v>
      </c>
      <c r="K260" s="1">
        <v>3</v>
      </c>
      <c r="L260" s="1">
        <v>5</v>
      </c>
    </row>
    <row r="261" spans="1:12" x14ac:dyDescent="0.25">
      <c r="A261" s="1" t="s">
        <v>437</v>
      </c>
      <c r="B261" s="1" t="s">
        <v>613</v>
      </c>
      <c r="C261" s="1" t="s">
        <v>631</v>
      </c>
      <c r="D261" s="1" t="s">
        <v>638</v>
      </c>
      <c r="E261" s="1">
        <v>35</v>
      </c>
      <c r="F261" s="1" t="s">
        <v>639</v>
      </c>
      <c r="G261" s="1">
        <v>6</v>
      </c>
      <c r="H261" s="1">
        <v>15</v>
      </c>
      <c r="I261" s="1">
        <v>7160</v>
      </c>
      <c r="J261" s="1">
        <v>5</v>
      </c>
      <c r="K261" s="1">
        <v>3</v>
      </c>
      <c r="L261" s="1">
        <v>6</v>
      </c>
    </row>
    <row r="262" spans="1:12" x14ac:dyDescent="0.25">
      <c r="A262" s="1" t="s">
        <v>174</v>
      </c>
      <c r="B262" s="1" t="s">
        <v>617</v>
      </c>
      <c r="C262" s="1" t="s">
        <v>634</v>
      </c>
      <c r="D262" s="1" t="s">
        <v>637</v>
      </c>
      <c r="E262" s="1">
        <v>43</v>
      </c>
      <c r="F262" s="1" t="s">
        <v>639</v>
      </c>
      <c r="G262" s="1">
        <v>6</v>
      </c>
      <c r="H262" s="1">
        <v>19</v>
      </c>
      <c r="I262" s="1">
        <v>7010</v>
      </c>
      <c r="J262" s="1">
        <v>3</v>
      </c>
      <c r="K262" s="1">
        <v>3</v>
      </c>
      <c r="L262" s="1">
        <v>20</v>
      </c>
    </row>
    <row r="263" spans="1:12" x14ac:dyDescent="0.25">
      <c r="A263" s="1" t="s">
        <v>517</v>
      </c>
      <c r="B263" s="1" t="s">
        <v>616</v>
      </c>
      <c r="C263" s="1" t="s">
        <v>635</v>
      </c>
      <c r="D263" s="1" t="s">
        <v>637</v>
      </c>
      <c r="E263" s="1">
        <v>32</v>
      </c>
      <c r="F263" s="1" t="s">
        <v>640</v>
      </c>
      <c r="G263" s="1">
        <v>6</v>
      </c>
      <c r="H263" s="1">
        <v>13</v>
      </c>
      <c r="I263" s="1">
        <v>6960</v>
      </c>
      <c r="J263" s="1">
        <v>3</v>
      </c>
      <c r="K263" s="1">
        <v>4</v>
      </c>
      <c r="L263" s="1">
        <v>11</v>
      </c>
    </row>
    <row r="264" spans="1:12" x14ac:dyDescent="0.25">
      <c r="A264" s="1" t="s">
        <v>166</v>
      </c>
      <c r="B264" s="1" t="s">
        <v>616</v>
      </c>
      <c r="C264" s="1" t="s">
        <v>624</v>
      </c>
      <c r="D264" s="1" t="s">
        <v>638</v>
      </c>
      <c r="E264" s="1">
        <v>45</v>
      </c>
      <c r="F264" s="1" t="s">
        <v>640</v>
      </c>
      <c r="G264" s="1">
        <v>6</v>
      </c>
      <c r="H264" s="1">
        <v>24</v>
      </c>
      <c r="I264" s="1">
        <v>6760</v>
      </c>
      <c r="J264" s="1">
        <v>4</v>
      </c>
      <c r="K264" s="1">
        <v>4</v>
      </c>
      <c r="L264" s="1">
        <v>0</v>
      </c>
    </row>
    <row r="265" spans="1:12" x14ac:dyDescent="0.25">
      <c r="A265" s="1" t="s">
        <v>173</v>
      </c>
      <c r="B265" s="1" t="s">
        <v>615</v>
      </c>
      <c r="C265" s="1" t="s">
        <v>625</v>
      </c>
      <c r="D265" s="1" t="s">
        <v>638</v>
      </c>
      <c r="E265" s="1">
        <v>34</v>
      </c>
      <c r="F265" s="1" t="s">
        <v>639</v>
      </c>
      <c r="G265" s="1">
        <v>6</v>
      </c>
      <c r="H265" s="1">
        <v>9</v>
      </c>
      <c r="I265" s="1">
        <v>6680</v>
      </c>
      <c r="J265" s="1">
        <v>5</v>
      </c>
      <c r="K265" s="1">
        <v>3</v>
      </c>
      <c r="L265" s="1">
        <v>8</v>
      </c>
    </row>
    <row r="266" spans="1:12" x14ac:dyDescent="0.25">
      <c r="A266" s="1" t="s">
        <v>192</v>
      </c>
      <c r="B266" s="1" t="s">
        <v>612</v>
      </c>
      <c r="C266" s="1" t="s">
        <v>619</v>
      </c>
      <c r="D266" s="1" t="s">
        <v>637</v>
      </c>
      <c r="E266" s="1">
        <v>31</v>
      </c>
      <c r="F266" s="1" t="s">
        <v>642</v>
      </c>
      <c r="G266" s="1">
        <v>6</v>
      </c>
      <c r="H266" s="1">
        <v>10</v>
      </c>
      <c r="I266" s="1">
        <v>6570</v>
      </c>
      <c r="J266" s="1">
        <v>3</v>
      </c>
      <c r="K266" s="1">
        <v>2</v>
      </c>
      <c r="L266" s="1">
        <v>0</v>
      </c>
    </row>
    <row r="267" spans="1:12" x14ac:dyDescent="0.25">
      <c r="A267" s="1" t="s">
        <v>98</v>
      </c>
      <c r="B267" s="1" t="s">
        <v>613</v>
      </c>
      <c r="C267" s="1" t="s">
        <v>631</v>
      </c>
      <c r="D267" s="1" t="s">
        <v>638</v>
      </c>
      <c r="E267" s="1">
        <v>34</v>
      </c>
      <c r="F267" s="1" t="s">
        <v>639</v>
      </c>
      <c r="G267" s="1">
        <v>6</v>
      </c>
      <c r="H267" s="1">
        <v>7</v>
      </c>
      <c r="I267" s="1">
        <v>6550</v>
      </c>
      <c r="J267" s="1">
        <v>2</v>
      </c>
      <c r="K267" s="1">
        <v>4</v>
      </c>
      <c r="L267" s="1">
        <v>13</v>
      </c>
    </row>
    <row r="268" spans="1:12" x14ac:dyDescent="0.25">
      <c r="A268" s="1" t="s">
        <v>68</v>
      </c>
      <c r="B268" s="1" t="s">
        <v>613</v>
      </c>
      <c r="C268" s="1" t="s">
        <v>623</v>
      </c>
      <c r="D268" s="1" t="s">
        <v>638</v>
      </c>
      <c r="E268" s="1">
        <v>31</v>
      </c>
      <c r="F268" s="1" t="s">
        <v>642</v>
      </c>
      <c r="G268" s="1">
        <v>6</v>
      </c>
      <c r="H268" s="1">
        <v>7</v>
      </c>
      <c r="I268" s="1">
        <v>6360</v>
      </c>
      <c r="J268" s="1">
        <v>3</v>
      </c>
      <c r="K268" s="1">
        <v>5</v>
      </c>
      <c r="L268" s="1">
        <v>13</v>
      </c>
    </row>
    <row r="269" spans="1:12" x14ac:dyDescent="0.25">
      <c r="A269" s="1" t="s">
        <v>95</v>
      </c>
      <c r="B269" s="1" t="s">
        <v>613</v>
      </c>
      <c r="C269" s="1" t="s">
        <v>623</v>
      </c>
      <c r="D269" s="1" t="s">
        <v>638</v>
      </c>
      <c r="E269" s="1">
        <v>24</v>
      </c>
      <c r="F269" s="1" t="s">
        <v>640</v>
      </c>
      <c r="G269" s="1">
        <v>6</v>
      </c>
      <c r="H269" s="1">
        <v>6</v>
      </c>
      <c r="I269" s="1">
        <v>6100</v>
      </c>
      <c r="J269" s="1">
        <v>4</v>
      </c>
      <c r="K269" s="1">
        <v>3</v>
      </c>
      <c r="L269" s="1">
        <v>5</v>
      </c>
    </row>
    <row r="270" spans="1:12" x14ac:dyDescent="0.25">
      <c r="A270" s="1" t="s">
        <v>159</v>
      </c>
      <c r="B270" s="1" t="s">
        <v>613</v>
      </c>
      <c r="C270" s="1" t="s">
        <v>620</v>
      </c>
      <c r="D270" s="1" t="s">
        <v>638</v>
      </c>
      <c r="E270" s="1">
        <v>41</v>
      </c>
      <c r="F270" s="1" t="s">
        <v>640</v>
      </c>
      <c r="G270" s="1">
        <v>6</v>
      </c>
      <c r="H270" s="1">
        <v>15</v>
      </c>
      <c r="I270" s="1">
        <v>6000</v>
      </c>
      <c r="J270" s="1">
        <v>3</v>
      </c>
      <c r="K270" s="1">
        <v>3</v>
      </c>
      <c r="L270" s="1">
        <v>21</v>
      </c>
    </row>
    <row r="271" spans="1:12" x14ac:dyDescent="0.25">
      <c r="A271" s="1" t="s">
        <v>83</v>
      </c>
      <c r="B271" s="1" t="s">
        <v>615</v>
      </c>
      <c r="C271" s="1" t="s">
        <v>629</v>
      </c>
      <c r="D271" s="1" t="s">
        <v>637</v>
      </c>
      <c r="E271" s="1">
        <v>60</v>
      </c>
      <c r="F271" s="1" t="s">
        <v>639</v>
      </c>
      <c r="G271" s="1">
        <v>5</v>
      </c>
      <c r="H271" s="1">
        <v>40</v>
      </c>
      <c r="I271" s="1">
        <v>12050</v>
      </c>
      <c r="J271" s="1">
        <v>3</v>
      </c>
      <c r="K271" s="1">
        <v>3</v>
      </c>
      <c r="L271" s="1">
        <v>0</v>
      </c>
    </row>
    <row r="272" spans="1:12" x14ac:dyDescent="0.25">
      <c r="A272" s="1" t="s">
        <v>545</v>
      </c>
      <c r="B272" s="1" t="s">
        <v>617</v>
      </c>
      <c r="C272" s="1" t="s">
        <v>628</v>
      </c>
      <c r="D272" s="1" t="s">
        <v>637</v>
      </c>
      <c r="E272" s="1">
        <v>59</v>
      </c>
      <c r="F272" s="1" t="s">
        <v>639</v>
      </c>
      <c r="G272" s="1">
        <v>5</v>
      </c>
      <c r="H272" s="1">
        <v>32</v>
      </c>
      <c r="I272" s="1">
        <v>10170</v>
      </c>
      <c r="J272" s="1">
        <v>4</v>
      </c>
      <c r="K272" s="1">
        <v>3</v>
      </c>
      <c r="L272" s="1">
        <v>4</v>
      </c>
    </row>
    <row r="273" spans="1:12" x14ac:dyDescent="0.25">
      <c r="A273" s="1" t="s">
        <v>412</v>
      </c>
      <c r="B273" s="1" t="s">
        <v>615</v>
      </c>
      <c r="C273" s="1" t="s">
        <v>629</v>
      </c>
      <c r="D273" s="1" t="s">
        <v>638</v>
      </c>
      <c r="E273" s="1">
        <v>57</v>
      </c>
      <c r="F273" s="1" t="s">
        <v>642</v>
      </c>
      <c r="G273" s="1">
        <v>5</v>
      </c>
      <c r="H273" s="1">
        <v>34</v>
      </c>
      <c r="I273" s="1">
        <v>10060</v>
      </c>
      <c r="J273" s="1">
        <v>5</v>
      </c>
      <c r="K273" s="1">
        <v>2</v>
      </c>
      <c r="L273" s="1">
        <v>12</v>
      </c>
    </row>
    <row r="274" spans="1:12" x14ac:dyDescent="0.25">
      <c r="A274" s="1" t="s">
        <v>37</v>
      </c>
      <c r="B274" s="1" t="s">
        <v>614</v>
      </c>
      <c r="C274" s="1" t="s">
        <v>632</v>
      </c>
      <c r="D274" s="1" t="s">
        <v>638</v>
      </c>
      <c r="E274" s="1">
        <v>53</v>
      </c>
      <c r="F274" s="1" t="s">
        <v>639</v>
      </c>
      <c r="G274" s="1">
        <v>5</v>
      </c>
      <c r="H274" s="1">
        <v>25</v>
      </c>
      <c r="I274" s="1">
        <v>10050</v>
      </c>
      <c r="J274" s="1">
        <v>4</v>
      </c>
      <c r="K274" s="1">
        <v>4</v>
      </c>
      <c r="L274" s="1">
        <v>6</v>
      </c>
    </row>
    <row r="275" spans="1:12" x14ac:dyDescent="0.25">
      <c r="A275" s="1" t="s">
        <v>333</v>
      </c>
      <c r="B275" s="1" t="s">
        <v>614</v>
      </c>
      <c r="C275" s="1" t="s">
        <v>633</v>
      </c>
      <c r="D275" s="1" t="s">
        <v>637</v>
      </c>
      <c r="E275" s="1">
        <v>54</v>
      </c>
      <c r="F275" s="1" t="s">
        <v>639</v>
      </c>
      <c r="G275" s="1">
        <v>5</v>
      </c>
      <c r="H275" s="1">
        <v>34</v>
      </c>
      <c r="I275" s="1">
        <v>9870</v>
      </c>
      <c r="J275" s="1">
        <v>5</v>
      </c>
      <c r="K275" s="1">
        <v>3</v>
      </c>
      <c r="L275" s="1">
        <v>24</v>
      </c>
    </row>
    <row r="276" spans="1:12" x14ac:dyDescent="0.25">
      <c r="A276" s="1" t="s">
        <v>526</v>
      </c>
      <c r="B276" s="1" t="s">
        <v>613</v>
      </c>
      <c r="C276" s="1" t="s">
        <v>620</v>
      </c>
      <c r="D276" s="1" t="s">
        <v>638</v>
      </c>
      <c r="E276" s="1">
        <v>59</v>
      </c>
      <c r="F276" s="1" t="s">
        <v>640</v>
      </c>
      <c r="G276" s="1">
        <v>5</v>
      </c>
      <c r="H276" s="1">
        <v>42</v>
      </c>
      <c r="I276" s="1">
        <v>9370</v>
      </c>
      <c r="J276" s="1">
        <v>3</v>
      </c>
      <c r="K276" s="1">
        <v>3</v>
      </c>
      <c r="L276" s="1">
        <v>7</v>
      </c>
    </row>
    <row r="277" spans="1:12" x14ac:dyDescent="0.25">
      <c r="A277" s="1" t="s">
        <v>172</v>
      </c>
      <c r="B277" s="1" t="s">
        <v>614</v>
      </c>
      <c r="C277" s="1" t="s">
        <v>633</v>
      </c>
      <c r="D277" s="1" t="s">
        <v>637</v>
      </c>
      <c r="E277" s="1">
        <v>50</v>
      </c>
      <c r="F277" s="1" t="s">
        <v>639</v>
      </c>
      <c r="G277" s="1">
        <v>5</v>
      </c>
      <c r="H277" s="1">
        <v>27</v>
      </c>
      <c r="I277" s="1">
        <v>9330</v>
      </c>
      <c r="J277" s="1">
        <v>4</v>
      </c>
      <c r="K277" s="1">
        <v>3</v>
      </c>
      <c r="L277" s="1">
        <v>12</v>
      </c>
    </row>
    <row r="278" spans="1:12" x14ac:dyDescent="0.25">
      <c r="A278" s="1" t="s">
        <v>269</v>
      </c>
      <c r="B278" s="1" t="s">
        <v>614</v>
      </c>
      <c r="C278" s="1" t="s">
        <v>621</v>
      </c>
      <c r="D278" s="1" t="s">
        <v>637</v>
      </c>
      <c r="E278" s="1">
        <v>49</v>
      </c>
      <c r="F278" s="1" t="s">
        <v>640</v>
      </c>
      <c r="G278" s="1">
        <v>5</v>
      </c>
      <c r="H278" s="1">
        <v>31</v>
      </c>
      <c r="I278" s="1">
        <v>9080</v>
      </c>
      <c r="J278" s="1">
        <v>3</v>
      </c>
      <c r="K278" s="1">
        <v>5</v>
      </c>
      <c r="L278" s="1">
        <v>27</v>
      </c>
    </row>
    <row r="279" spans="1:12" x14ac:dyDescent="0.25">
      <c r="A279" s="1" t="s">
        <v>127</v>
      </c>
      <c r="B279" s="1" t="s">
        <v>612</v>
      </c>
      <c r="C279" s="1" t="s">
        <v>630</v>
      </c>
      <c r="D279" s="1" t="s">
        <v>637</v>
      </c>
      <c r="E279" s="1">
        <v>50</v>
      </c>
      <c r="F279" s="1" t="s">
        <v>640</v>
      </c>
      <c r="G279" s="1">
        <v>5</v>
      </c>
      <c r="H279" s="1">
        <v>28</v>
      </c>
      <c r="I279" s="1">
        <v>9010</v>
      </c>
      <c r="J279" s="1">
        <v>3</v>
      </c>
      <c r="K279" s="1">
        <v>4</v>
      </c>
      <c r="L279" s="1">
        <v>11</v>
      </c>
    </row>
    <row r="280" spans="1:12" x14ac:dyDescent="0.25">
      <c r="A280" s="1" t="s">
        <v>583</v>
      </c>
      <c r="B280" s="1" t="s">
        <v>615</v>
      </c>
      <c r="C280" s="1" t="s">
        <v>625</v>
      </c>
      <c r="D280" s="1" t="s">
        <v>638</v>
      </c>
      <c r="E280" s="1">
        <v>50</v>
      </c>
      <c r="F280" s="1" t="s">
        <v>639</v>
      </c>
      <c r="G280" s="1">
        <v>5</v>
      </c>
      <c r="H280" s="1">
        <v>27</v>
      </c>
      <c r="I280" s="1">
        <v>8920</v>
      </c>
      <c r="J280" s="1">
        <v>4</v>
      </c>
      <c r="K280" s="1">
        <v>3</v>
      </c>
      <c r="L280" s="1">
        <v>11</v>
      </c>
    </row>
    <row r="281" spans="1:12" x14ac:dyDescent="0.25">
      <c r="A281" s="1" t="s">
        <v>547</v>
      </c>
      <c r="B281" s="1" t="s">
        <v>615</v>
      </c>
      <c r="C281" s="1" t="s">
        <v>629</v>
      </c>
      <c r="D281" s="1" t="s">
        <v>638</v>
      </c>
      <c r="E281" s="1">
        <v>44</v>
      </c>
      <c r="F281" s="1" t="s">
        <v>640</v>
      </c>
      <c r="G281" s="1">
        <v>5</v>
      </c>
      <c r="H281" s="1">
        <v>25</v>
      </c>
      <c r="I281" s="1">
        <v>8830</v>
      </c>
      <c r="J281" s="1">
        <v>4</v>
      </c>
      <c r="K281" s="1">
        <v>4</v>
      </c>
      <c r="L281" s="1">
        <v>10</v>
      </c>
    </row>
    <row r="282" spans="1:12" x14ac:dyDescent="0.25">
      <c r="A282" s="1" t="s">
        <v>187</v>
      </c>
      <c r="B282" s="1" t="s">
        <v>616</v>
      </c>
      <c r="C282" s="1" t="s">
        <v>636</v>
      </c>
      <c r="D282" s="1" t="s">
        <v>637</v>
      </c>
      <c r="E282" s="1">
        <v>54</v>
      </c>
      <c r="F282" s="1" t="s">
        <v>639</v>
      </c>
      <c r="G282" s="1">
        <v>5</v>
      </c>
      <c r="H282" s="1">
        <v>27</v>
      </c>
      <c r="I282" s="1">
        <v>8600</v>
      </c>
      <c r="J282" s="1">
        <v>3</v>
      </c>
      <c r="K282" s="1">
        <v>2</v>
      </c>
      <c r="L282" s="1">
        <v>11</v>
      </c>
    </row>
    <row r="283" spans="1:12" x14ac:dyDescent="0.25">
      <c r="A283" s="1" t="s">
        <v>387</v>
      </c>
      <c r="B283" s="1" t="s">
        <v>614</v>
      </c>
      <c r="C283" s="1" t="s">
        <v>633</v>
      </c>
      <c r="D283" s="1" t="s">
        <v>638</v>
      </c>
      <c r="E283" s="1">
        <v>41</v>
      </c>
      <c r="F283" s="1" t="s">
        <v>640</v>
      </c>
      <c r="G283" s="1">
        <v>5</v>
      </c>
      <c r="H283" s="1">
        <v>24</v>
      </c>
      <c r="I283" s="1">
        <v>8550</v>
      </c>
      <c r="J283" s="1">
        <v>2</v>
      </c>
      <c r="K283" s="1">
        <v>3</v>
      </c>
      <c r="L283" s="1">
        <v>13</v>
      </c>
    </row>
    <row r="284" spans="1:12" x14ac:dyDescent="0.25">
      <c r="A284" s="1" t="s">
        <v>419</v>
      </c>
      <c r="B284" s="1" t="s">
        <v>617</v>
      </c>
      <c r="C284" s="1" t="s">
        <v>627</v>
      </c>
      <c r="D284" s="1" t="s">
        <v>638</v>
      </c>
      <c r="E284" s="1">
        <v>48</v>
      </c>
      <c r="F284" s="1" t="s">
        <v>642</v>
      </c>
      <c r="G284" s="1">
        <v>5</v>
      </c>
      <c r="H284" s="1">
        <v>29</v>
      </c>
      <c r="I284" s="1">
        <v>8510</v>
      </c>
      <c r="J284" s="1">
        <v>3</v>
      </c>
      <c r="K284" s="1">
        <v>4</v>
      </c>
      <c r="L284" s="1">
        <v>12</v>
      </c>
    </row>
    <row r="285" spans="1:12" x14ac:dyDescent="0.25">
      <c r="A285" s="1" t="s">
        <v>276</v>
      </c>
      <c r="B285" s="1" t="s">
        <v>612</v>
      </c>
      <c r="C285" s="1" t="s">
        <v>618</v>
      </c>
      <c r="D285" s="1" t="s">
        <v>638</v>
      </c>
      <c r="E285" s="1">
        <v>48</v>
      </c>
      <c r="F285" s="1" t="s">
        <v>639</v>
      </c>
      <c r="G285" s="1">
        <v>5</v>
      </c>
      <c r="H285" s="1">
        <v>24</v>
      </c>
      <c r="I285" s="1">
        <v>8090</v>
      </c>
      <c r="J285" s="1">
        <v>4</v>
      </c>
      <c r="K285" s="1">
        <v>3</v>
      </c>
      <c r="L285" s="1">
        <v>14</v>
      </c>
    </row>
    <row r="286" spans="1:12" x14ac:dyDescent="0.25">
      <c r="A286" s="1" t="s">
        <v>337</v>
      </c>
      <c r="B286" s="1" t="s">
        <v>617</v>
      </c>
      <c r="C286" s="1" t="s">
        <v>634</v>
      </c>
      <c r="D286" s="1" t="s">
        <v>638</v>
      </c>
      <c r="E286" s="1">
        <v>52</v>
      </c>
      <c r="F286" s="1" t="s">
        <v>639</v>
      </c>
      <c r="G286" s="1">
        <v>5</v>
      </c>
      <c r="H286" s="1">
        <v>28</v>
      </c>
      <c r="I286" s="1">
        <v>7980</v>
      </c>
      <c r="J286" s="1">
        <v>2</v>
      </c>
      <c r="K286" s="1">
        <v>4</v>
      </c>
      <c r="L286" s="1">
        <v>10</v>
      </c>
    </row>
    <row r="287" spans="1:12" x14ac:dyDescent="0.25">
      <c r="A287" s="1" t="s">
        <v>58</v>
      </c>
      <c r="B287" s="1" t="s">
        <v>614</v>
      </c>
      <c r="C287" s="1" t="s">
        <v>621</v>
      </c>
      <c r="D287" s="1" t="s">
        <v>637</v>
      </c>
      <c r="E287" s="1">
        <v>35</v>
      </c>
      <c r="F287" s="1" t="s">
        <v>639</v>
      </c>
      <c r="G287" s="1">
        <v>5</v>
      </c>
      <c r="H287" s="1">
        <v>17</v>
      </c>
      <c r="I287" s="1">
        <v>7960</v>
      </c>
      <c r="J287" s="1">
        <v>4</v>
      </c>
      <c r="K287" s="1">
        <v>3</v>
      </c>
      <c r="L287" s="1">
        <v>17</v>
      </c>
    </row>
    <row r="288" spans="1:12" x14ac:dyDescent="0.25">
      <c r="A288" s="1" t="s">
        <v>465</v>
      </c>
      <c r="B288" s="1" t="s">
        <v>617</v>
      </c>
      <c r="C288" s="1" t="s">
        <v>634</v>
      </c>
      <c r="D288" s="1" t="s">
        <v>637</v>
      </c>
      <c r="E288" s="1">
        <v>54</v>
      </c>
      <c r="F288" s="1" t="s">
        <v>640</v>
      </c>
      <c r="G288" s="1">
        <v>5</v>
      </c>
      <c r="H288" s="1">
        <v>29</v>
      </c>
      <c r="I288" s="1">
        <v>7910</v>
      </c>
      <c r="J288" s="1">
        <v>3</v>
      </c>
      <c r="K288" s="1">
        <v>3</v>
      </c>
      <c r="L288" s="1">
        <v>13</v>
      </c>
    </row>
    <row r="289" spans="1:12" x14ac:dyDescent="0.25">
      <c r="A289" s="1" t="s">
        <v>256</v>
      </c>
      <c r="B289" s="1" t="s">
        <v>615</v>
      </c>
      <c r="C289" s="1" t="s">
        <v>629</v>
      </c>
      <c r="D289" s="1" t="s">
        <v>637</v>
      </c>
      <c r="E289" s="1">
        <v>32</v>
      </c>
      <c r="F289" s="1" t="s">
        <v>640</v>
      </c>
      <c r="G289" s="1">
        <v>5</v>
      </c>
      <c r="H289" s="1">
        <v>9</v>
      </c>
      <c r="I289" s="1">
        <v>7770</v>
      </c>
      <c r="J289" s="1">
        <v>3</v>
      </c>
      <c r="K289" s="1">
        <v>4</v>
      </c>
      <c r="L289" s="1">
        <v>8</v>
      </c>
    </row>
    <row r="290" spans="1:12" x14ac:dyDescent="0.25">
      <c r="A290" s="1" t="s">
        <v>466</v>
      </c>
      <c r="B290" s="1" t="s">
        <v>617</v>
      </c>
      <c r="C290" s="1" t="s">
        <v>634</v>
      </c>
      <c r="D290" s="1" t="s">
        <v>638</v>
      </c>
      <c r="E290" s="1">
        <v>54</v>
      </c>
      <c r="F290" s="1" t="s">
        <v>642</v>
      </c>
      <c r="G290" s="1">
        <v>5</v>
      </c>
      <c r="H290" s="1">
        <v>32</v>
      </c>
      <c r="I290" s="1">
        <v>7750</v>
      </c>
      <c r="J290" s="1">
        <v>4</v>
      </c>
      <c r="K290" s="1">
        <v>3</v>
      </c>
      <c r="L290" s="1">
        <v>9</v>
      </c>
    </row>
    <row r="291" spans="1:12" x14ac:dyDescent="0.25">
      <c r="A291" s="1" t="s">
        <v>519</v>
      </c>
      <c r="B291" s="1" t="s">
        <v>617</v>
      </c>
      <c r="C291" s="1" t="s">
        <v>628</v>
      </c>
      <c r="D291" s="1" t="s">
        <v>637</v>
      </c>
      <c r="E291" s="1">
        <v>35</v>
      </c>
      <c r="F291" s="1" t="s">
        <v>639</v>
      </c>
      <c r="G291" s="1">
        <v>5</v>
      </c>
      <c r="H291" s="1">
        <v>14</v>
      </c>
      <c r="I291" s="1">
        <v>7670</v>
      </c>
      <c r="J291" s="1">
        <v>2</v>
      </c>
      <c r="K291" s="1">
        <v>3</v>
      </c>
      <c r="L291" s="1">
        <v>1</v>
      </c>
    </row>
    <row r="292" spans="1:12" x14ac:dyDescent="0.25">
      <c r="A292" s="1" t="s">
        <v>479</v>
      </c>
      <c r="B292" s="1" t="s">
        <v>617</v>
      </c>
      <c r="C292" s="1" t="s">
        <v>628</v>
      </c>
      <c r="D292" s="1" t="s">
        <v>637</v>
      </c>
      <c r="E292" s="1">
        <v>38</v>
      </c>
      <c r="F292" s="1" t="s">
        <v>640</v>
      </c>
      <c r="G292" s="1">
        <v>5</v>
      </c>
      <c r="H292" s="1">
        <v>15</v>
      </c>
      <c r="I292" s="1">
        <v>7380</v>
      </c>
      <c r="J292" s="1">
        <v>4</v>
      </c>
      <c r="K292" s="1">
        <v>3</v>
      </c>
      <c r="L292" s="1">
        <v>16</v>
      </c>
    </row>
    <row r="293" spans="1:12" x14ac:dyDescent="0.25">
      <c r="A293" s="1" t="s">
        <v>453</v>
      </c>
      <c r="B293" s="1" t="s">
        <v>616</v>
      </c>
      <c r="C293" s="1" t="s">
        <v>624</v>
      </c>
      <c r="D293" s="1" t="s">
        <v>637</v>
      </c>
      <c r="E293" s="1">
        <v>43</v>
      </c>
      <c r="F293" s="1" t="s">
        <v>639</v>
      </c>
      <c r="G293" s="1">
        <v>5</v>
      </c>
      <c r="H293" s="1">
        <v>22</v>
      </c>
      <c r="I293" s="1">
        <v>7340</v>
      </c>
      <c r="J293" s="1">
        <v>3</v>
      </c>
      <c r="K293" s="1">
        <v>1</v>
      </c>
      <c r="L293" s="1">
        <v>28</v>
      </c>
    </row>
    <row r="294" spans="1:12" x14ac:dyDescent="0.25">
      <c r="A294" s="1" t="s">
        <v>436</v>
      </c>
      <c r="B294" s="1" t="s">
        <v>615</v>
      </c>
      <c r="C294" s="1" t="s">
        <v>625</v>
      </c>
      <c r="D294" s="1" t="s">
        <v>638</v>
      </c>
      <c r="E294" s="1">
        <v>30</v>
      </c>
      <c r="F294" s="1" t="s">
        <v>639</v>
      </c>
      <c r="G294" s="1">
        <v>5</v>
      </c>
      <c r="H294" s="1">
        <v>7</v>
      </c>
      <c r="I294" s="1">
        <v>7140</v>
      </c>
      <c r="J294" s="1">
        <v>1</v>
      </c>
      <c r="K294" s="1">
        <v>3</v>
      </c>
      <c r="L294" s="1">
        <v>8</v>
      </c>
    </row>
    <row r="295" spans="1:12" x14ac:dyDescent="0.25">
      <c r="A295" s="1" t="s">
        <v>528</v>
      </c>
      <c r="B295" s="1" t="s">
        <v>617</v>
      </c>
      <c r="C295" s="1" t="s">
        <v>634</v>
      </c>
      <c r="D295" s="1" t="s">
        <v>637</v>
      </c>
      <c r="E295" s="1">
        <v>50</v>
      </c>
      <c r="F295" s="1" t="s">
        <v>640</v>
      </c>
      <c r="G295" s="1">
        <v>5</v>
      </c>
      <c r="H295" s="1">
        <v>27</v>
      </c>
      <c r="I295" s="1">
        <v>7140</v>
      </c>
      <c r="J295" s="1">
        <v>1</v>
      </c>
      <c r="K295" s="1">
        <v>4</v>
      </c>
      <c r="L295" s="1">
        <v>9</v>
      </c>
    </row>
    <row r="296" spans="1:12" x14ac:dyDescent="0.25">
      <c r="A296" s="1" t="s">
        <v>252</v>
      </c>
      <c r="B296" s="1" t="s">
        <v>614</v>
      </c>
      <c r="C296" s="1" t="s">
        <v>633</v>
      </c>
      <c r="D296" s="1" t="s">
        <v>638</v>
      </c>
      <c r="E296" s="1">
        <v>33</v>
      </c>
      <c r="F296" s="1" t="s">
        <v>639</v>
      </c>
      <c r="G296" s="1">
        <v>5</v>
      </c>
      <c r="H296" s="1">
        <v>8</v>
      </c>
      <c r="I296" s="1">
        <v>7120</v>
      </c>
      <c r="J296" s="1">
        <v>3</v>
      </c>
      <c r="K296" s="1">
        <v>4</v>
      </c>
      <c r="L296" s="1">
        <v>2</v>
      </c>
    </row>
    <row r="297" spans="1:12" x14ac:dyDescent="0.25">
      <c r="A297" s="1" t="s">
        <v>589</v>
      </c>
      <c r="B297" s="1" t="s">
        <v>614</v>
      </c>
      <c r="C297" s="1" t="s">
        <v>621</v>
      </c>
      <c r="D297" s="1" t="s">
        <v>637</v>
      </c>
      <c r="E297" s="1">
        <v>22</v>
      </c>
      <c r="F297" s="1" t="s">
        <v>640</v>
      </c>
      <c r="G297" s="1">
        <v>5</v>
      </c>
      <c r="H297" s="1">
        <v>5</v>
      </c>
      <c r="I297" s="1">
        <v>7100</v>
      </c>
      <c r="J297" s="1">
        <v>2</v>
      </c>
      <c r="K297" s="1">
        <v>3</v>
      </c>
      <c r="L297" s="1">
        <v>20</v>
      </c>
    </row>
    <row r="298" spans="1:12" x14ac:dyDescent="0.25">
      <c r="A298" s="1" t="s">
        <v>179</v>
      </c>
      <c r="B298" s="1" t="s">
        <v>616</v>
      </c>
      <c r="C298" s="1" t="s">
        <v>636</v>
      </c>
      <c r="D298" s="1" t="s">
        <v>638</v>
      </c>
      <c r="E298" s="1">
        <v>34</v>
      </c>
      <c r="F298" s="1" t="s">
        <v>642</v>
      </c>
      <c r="G298" s="1">
        <v>5</v>
      </c>
      <c r="H298" s="1">
        <v>10</v>
      </c>
      <c r="I298" s="1">
        <v>7070</v>
      </c>
      <c r="J298" s="1">
        <v>3</v>
      </c>
      <c r="K298" s="1">
        <v>3</v>
      </c>
      <c r="L298" s="1">
        <v>8</v>
      </c>
    </row>
    <row r="299" spans="1:12" x14ac:dyDescent="0.25">
      <c r="A299" s="1" t="s">
        <v>349</v>
      </c>
      <c r="B299" s="1" t="s">
        <v>616</v>
      </c>
      <c r="C299" s="1" t="s">
        <v>636</v>
      </c>
      <c r="D299" s="1" t="s">
        <v>638</v>
      </c>
      <c r="E299" s="1">
        <v>31</v>
      </c>
      <c r="F299" s="1" t="s">
        <v>642</v>
      </c>
      <c r="G299" s="1">
        <v>5</v>
      </c>
      <c r="H299" s="1">
        <v>7</v>
      </c>
      <c r="I299" s="1">
        <v>7030</v>
      </c>
      <c r="J299" s="1">
        <v>4</v>
      </c>
      <c r="K299" s="1">
        <v>1</v>
      </c>
      <c r="L299" s="1">
        <v>19</v>
      </c>
    </row>
    <row r="300" spans="1:12" x14ac:dyDescent="0.25">
      <c r="A300" s="1" t="s">
        <v>155</v>
      </c>
      <c r="B300" s="1" t="s">
        <v>614</v>
      </c>
      <c r="C300" s="1" t="s">
        <v>626</v>
      </c>
      <c r="D300" s="1" t="s">
        <v>638</v>
      </c>
      <c r="E300" s="1">
        <v>24</v>
      </c>
      <c r="F300" s="1" t="s">
        <v>639</v>
      </c>
      <c r="G300" s="1">
        <v>5</v>
      </c>
      <c r="H300" s="1">
        <v>5</v>
      </c>
      <c r="I300" s="1">
        <v>6720</v>
      </c>
      <c r="J300" s="1">
        <v>4</v>
      </c>
      <c r="K300" s="1">
        <v>4</v>
      </c>
      <c r="L300" s="1">
        <v>14</v>
      </c>
    </row>
    <row r="301" spans="1:12" x14ac:dyDescent="0.25">
      <c r="A301" s="1" t="s">
        <v>158</v>
      </c>
      <c r="B301" s="1" t="s">
        <v>617</v>
      </c>
      <c r="C301" s="1" t="s">
        <v>627</v>
      </c>
      <c r="D301" s="1" t="s">
        <v>638</v>
      </c>
      <c r="E301" s="1">
        <v>46</v>
      </c>
      <c r="F301" s="1" t="s">
        <v>640</v>
      </c>
      <c r="G301" s="1">
        <v>5</v>
      </c>
      <c r="H301" s="1">
        <v>18</v>
      </c>
      <c r="I301" s="1">
        <v>6670</v>
      </c>
      <c r="J301" s="1">
        <v>3</v>
      </c>
      <c r="K301" s="1">
        <v>3</v>
      </c>
      <c r="L301" s="1">
        <v>2</v>
      </c>
    </row>
    <row r="302" spans="1:12" x14ac:dyDescent="0.25">
      <c r="A302" s="1" t="s">
        <v>44</v>
      </c>
      <c r="B302" s="1" t="s">
        <v>612</v>
      </c>
      <c r="C302" s="1" t="s">
        <v>619</v>
      </c>
      <c r="D302" s="1" t="s">
        <v>638</v>
      </c>
      <c r="E302" s="1">
        <v>36</v>
      </c>
      <c r="F302" s="1" t="s">
        <v>642</v>
      </c>
      <c r="G302" s="1">
        <v>5</v>
      </c>
      <c r="H302" s="1">
        <v>16</v>
      </c>
      <c r="I302" s="1">
        <v>6590</v>
      </c>
      <c r="J302" s="1">
        <v>2</v>
      </c>
      <c r="K302" s="1">
        <v>3</v>
      </c>
      <c r="L302" s="1">
        <v>23</v>
      </c>
    </row>
    <row r="303" spans="1:12" x14ac:dyDescent="0.25">
      <c r="A303" s="1" t="s">
        <v>354</v>
      </c>
      <c r="B303" s="1" t="s">
        <v>612</v>
      </c>
      <c r="C303" s="1" t="s">
        <v>618</v>
      </c>
      <c r="D303" s="1" t="s">
        <v>637</v>
      </c>
      <c r="E303" s="1">
        <v>35</v>
      </c>
      <c r="F303" s="1" t="s">
        <v>639</v>
      </c>
      <c r="G303" s="1">
        <v>5</v>
      </c>
      <c r="H303" s="1">
        <v>9</v>
      </c>
      <c r="I303" s="1">
        <v>6420</v>
      </c>
      <c r="J303" s="1">
        <v>3</v>
      </c>
      <c r="K303" s="1">
        <v>1</v>
      </c>
      <c r="L303" s="1">
        <v>13</v>
      </c>
    </row>
    <row r="304" spans="1:12" x14ac:dyDescent="0.25">
      <c r="A304" s="1" t="s">
        <v>167</v>
      </c>
      <c r="B304" s="1" t="s">
        <v>612</v>
      </c>
      <c r="C304" s="1" t="s">
        <v>619</v>
      </c>
      <c r="D304" s="1" t="s">
        <v>638</v>
      </c>
      <c r="E304" s="1">
        <v>39</v>
      </c>
      <c r="F304" s="1" t="s">
        <v>639</v>
      </c>
      <c r="G304" s="1">
        <v>5</v>
      </c>
      <c r="H304" s="1">
        <v>15</v>
      </c>
      <c r="I304" s="1">
        <v>6410</v>
      </c>
      <c r="J304" s="1">
        <v>2</v>
      </c>
      <c r="K304" s="1">
        <v>5</v>
      </c>
      <c r="L304" s="1">
        <v>9</v>
      </c>
    </row>
    <row r="305" spans="1:12" x14ac:dyDescent="0.25">
      <c r="A305" s="1" t="s">
        <v>480</v>
      </c>
      <c r="B305" s="1" t="s">
        <v>613</v>
      </c>
      <c r="C305" s="1" t="s">
        <v>631</v>
      </c>
      <c r="D305" s="1" t="s">
        <v>638</v>
      </c>
      <c r="E305" s="1">
        <v>32</v>
      </c>
      <c r="F305" s="1" t="s">
        <v>639</v>
      </c>
      <c r="G305" s="1">
        <v>5</v>
      </c>
      <c r="H305" s="1">
        <v>10</v>
      </c>
      <c r="I305" s="1">
        <v>5920</v>
      </c>
      <c r="J305" s="1">
        <v>3</v>
      </c>
      <c r="K305" s="1">
        <v>2</v>
      </c>
      <c r="L305" s="1">
        <v>4</v>
      </c>
    </row>
    <row r="306" spans="1:12" x14ac:dyDescent="0.25">
      <c r="A306" s="1" t="s">
        <v>543</v>
      </c>
      <c r="B306" s="1" t="s">
        <v>612</v>
      </c>
      <c r="C306" s="1" t="s">
        <v>619</v>
      </c>
      <c r="D306" s="1" t="s">
        <v>637</v>
      </c>
      <c r="E306" s="1">
        <v>34</v>
      </c>
      <c r="F306" s="1" t="s">
        <v>642</v>
      </c>
      <c r="G306" s="1">
        <v>5</v>
      </c>
      <c r="H306" s="1">
        <v>10</v>
      </c>
      <c r="I306" s="1">
        <v>5910</v>
      </c>
      <c r="J306" s="1">
        <v>4</v>
      </c>
      <c r="K306" s="1">
        <v>1</v>
      </c>
      <c r="L306" s="1">
        <v>12</v>
      </c>
    </row>
    <row r="307" spans="1:12" x14ac:dyDescent="0.25">
      <c r="A307" s="1" t="s">
        <v>367</v>
      </c>
      <c r="B307" s="1" t="s">
        <v>613</v>
      </c>
      <c r="C307" s="1" t="s">
        <v>620</v>
      </c>
      <c r="D307" s="1" t="s">
        <v>638</v>
      </c>
      <c r="E307" s="1">
        <v>36</v>
      </c>
      <c r="F307" s="1" t="s">
        <v>641</v>
      </c>
      <c r="G307" s="1">
        <v>5</v>
      </c>
      <c r="H307" s="1">
        <v>13</v>
      </c>
      <c r="I307" s="1">
        <v>5730</v>
      </c>
      <c r="J307" s="1">
        <v>3</v>
      </c>
      <c r="K307" s="1">
        <v>4</v>
      </c>
      <c r="L307" s="1">
        <v>12</v>
      </c>
    </row>
    <row r="308" spans="1:12" x14ac:dyDescent="0.25">
      <c r="A308" s="1" t="s">
        <v>504</v>
      </c>
      <c r="B308" s="1" t="s">
        <v>616</v>
      </c>
      <c r="C308" s="1" t="s">
        <v>624</v>
      </c>
      <c r="D308" s="1" t="s">
        <v>637</v>
      </c>
      <c r="E308" s="1">
        <v>29</v>
      </c>
      <c r="F308" s="1" t="s">
        <v>639</v>
      </c>
      <c r="G308" s="1">
        <v>5</v>
      </c>
      <c r="H308" s="1">
        <v>9</v>
      </c>
      <c r="I308" s="1">
        <v>5690</v>
      </c>
      <c r="J308" s="1">
        <v>3</v>
      </c>
      <c r="K308" s="1">
        <v>4</v>
      </c>
      <c r="L308" s="1">
        <v>8</v>
      </c>
    </row>
    <row r="309" spans="1:12" x14ac:dyDescent="0.25">
      <c r="A309" s="1" t="s">
        <v>427</v>
      </c>
      <c r="B309" s="1" t="s">
        <v>616</v>
      </c>
      <c r="C309" s="1" t="s">
        <v>624</v>
      </c>
      <c r="D309" s="1" t="s">
        <v>637</v>
      </c>
      <c r="E309" s="1">
        <v>33</v>
      </c>
      <c r="F309" s="1" t="s">
        <v>639</v>
      </c>
      <c r="G309" s="1">
        <v>5</v>
      </c>
      <c r="H309" s="1">
        <v>7</v>
      </c>
      <c r="I309" s="1">
        <v>5570</v>
      </c>
      <c r="J309" s="1">
        <v>5</v>
      </c>
      <c r="K309" s="1">
        <v>4</v>
      </c>
      <c r="L309" s="1">
        <v>12</v>
      </c>
    </row>
    <row r="310" spans="1:12" x14ac:dyDescent="0.25">
      <c r="A310" s="1" t="s">
        <v>567</v>
      </c>
      <c r="B310" s="1" t="s">
        <v>614</v>
      </c>
      <c r="C310" s="1" t="s">
        <v>626</v>
      </c>
      <c r="D310" s="1" t="s">
        <v>637</v>
      </c>
      <c r="E310" s="1">
        <v>30</v>
      </c>
      <c r="F310" s="1" t="s">
        <v>639</v>
      </c>
      <c r="G310" s="1">
        <v>5</v>
      </c>
      <c r="H310" s="1">
        <v>5</v>
      </c>
      <c r="I310" s="1">
        <v>5380</v>
      </c>
      <c r="J310" s="1">
        <v>4</v>
      </c>
      <c r="K310" s="1">
        <v>2</v>
      </c>
      <c r="L310" s="1">
        <v>17</v>
      </c>
    </row>
    <row r="311" spans="1:12" x14ac:dyDescent="0.25">
      <c r="A311" s="1" t="s">
        <v>141</v>
      </c>
      <c r="B311" s="1" t="s">
        <v>612</v>
      </c>
      <c r="C311" s="1" t="s">
        <v>619</v>
      </c>
      <c r="D311" s="1" t="s">
        <v>638</v>
      </c>
      <c r="E311" s="1">
        <v>26</v>
      </c>
      <c r="F311" s="1" t="s">
        <v>639</v>
      </c>
      <c r="G311" s="1">
        <v>5</v>
      </c>
      <c r="H311" s="1">
        <v>5</v>
      </c>
      <c r="I311" s="1">
        <v>5260</v>
      </c>
      <c r="J311" s="1">
        <v>2</v>
      </c>
      <c r="K311" s="1">
        <v>3</v>
      </c>
      <c r="L311" s="1">
        <v>32</v>
      </c>
    </row>
    <row r="312" spans="1:12" x14ac:dyDescent="0.25">
      <c r="A312" s="1" t="s">
        <v>291</v>
      </c>
      <c r="B312" s="1" t="s">
        <v>617</v>
      </c>
      <c r="C312" s="1" t="s">
        <v>627</v>
      </c>
      <c r="D312" s="1" t="s">
        <v>638</v>
      </c>
      <c r="E312" s="1">
        <v>30</v>
      </c>
      <c r="F312" s="1" t="s">
        <v>639</v>
      </c>
      <c r="G312" s="1">
        <v>5</v>
      </c>
      <c r="H312" s="1">
        <v>5</v>
      </c>
      <c r="I312" s="1">
        <v>4530</v>
      </c>
      <c r="J312" s="1">
        <v>4</v>
      </c>
      <c r="K312" s="1">
        <v>5</v>
      </c>
      <c r="L312" s="1">
        <v>0</v>
      </c>
    </row>
    <row r="313" spans="1:12" x14ac:dyDescent="0.25">
      <c r="A313" s="1" t="s">
        <v>537</v>
      </c>
      <c r="B313" s="1" t="s">
        <v>615</v>
      </c>
      <c r="C313" s="1" t="s">
        <v>629</v>
      </c>
      <c r="D313" s="1" t="s">
        <v>638</v>
      </c>
      <c r="E313" s="1">
        <v>56</v>
      </c>
      <c r="F313" s="1" t="s">
        <v>641</v>
      </c>
      <c r="G313" s="1">
        <v>4</v>
      </c>
      <c r="H313" s="1">
        <v>32</v>
      </c>
      <c r="I313" s="1">
        <v>10240</v>
      </c>
      <c r="J313" s="1">
        <v>3</v>
      </c>
      <c r="K313" s="1">
        <v>3</v>
      </c>
      <c r="L313" s="1">
        <v>0</v>
      </c>
    </row>
    <row r="314" spans="1:12" x14ac:dyDescent="0.25">
      <c r="A314" s="1" t="s">
        <v>328</v>
      </c>
      <c r="B314" s="1" t="s">
        <v>616</v>
      </c>
      <c r="C314" s="1" t="s">
        <v>635</v>
      </c>
      <c r="D314" s="1" t="s">
        <v>637</v>
      </c>
      <c r="E314" s="1">
        <v>59</v>
      </c>
      <c r="F314" s="1" t="s">
        <v>640</v>
      </c>
      <c r="G314" s="1">
        <v>4</v>
      </c>
      <c r="H314" s="1">
        <v>37</v>
      </c>
      <c r="I314" s="1">
        <v>10080</v>
      </c>
      <c r="J314" s="1">
        <v>4</v>
      </c>
      <c r="K314" s="1">
        <v>5</v>
      </c>
      <c r="L314" s="1">
        <v>0</v>
      </c>
    </row>
    <row r="315" spans="1:12" x14ac:dyDescent="0.25">
      <c r="A315" s="1" t="s">
        <v>323</v>
      </c>
      <c r="B315" s="1" t="s">
        <v>614</v>
      </c>
      <c r="C315" s="1" t="s">
        <v>632</v>
      </c>
      <c r="D315" s="1" t="s">
        <v>637</v>
      </c>
      <c r="E315" s="1">
        <v>48</v>
      </c>
      <c r="F315" s="1" t="s">
        <v>639</v>
      </c>
      <c r="G315" s="1">
        <v>4</v>
      </c>
      <c r="H315" s="1">
        <v>31</v>
      </c>
      <c r="I315" s="1">
        <v>10050</v>
      </c>
      <c r="J315" s="1">
        <v>4</v>
      </c>
      <c r="K315" s="1">
        <v>3</v>
      </c>
      <c r="L315" s="1">
        <v>20</v>
      </c>
    </row>
    <row r="316" spans="1:12" x14ac:dyDescent="0.25">
      <c r="A316" s="1" t="s">
        <v>20</v>
      </c>
      <c r="B316" s="1" t="s">
        <v>613</v>
      </c>
      <c r="C316" s="1" t="s">
        <v>623</v>
      </c>
      <c r="D316" s="1" t="s">
        <v>638</v>
      </c>
      <c r="E316" s="1">
        <v>55</v>
      </c>
      <c r="F316" s="1" t="s">
        <v>641</v>
      </c>
      <c r="G316" s="1">
        <v>4</v>
      </c>
      <c r="H316" s="1">
        <v>35</v>
      </c>
      <c r="I316" s="1">
        <v>10040</v>
      </c>
      <c r="J316" s="1">
        <v>3</v>
      </c>
      <c r="K316" s="1">
        <v>3</v>
      </c>
      <c r="L316" s="1">
        <v>15</v>
      </c>
    </row>
    <row r="317" spans="1:12" x14ac:dyDescent="0.25">
      <c r="A317" s="1" t="s">
        <v>266</v>
      </c>
      <c r="B317" s="1" t="s">
        <v>614</v>
      </c>
      <c r="C317" s="1" t="s">
        <v>633</v>
      </c>
      <c r="D317" s="1" t="s">
        <v>637</v>
      </c>
      <c r="E317" s="1">
        <v>50</v>
      </c>
      <c r="F317" s="1" t="s">
        <v>639</v>
      </c>
      <c r="G317" s="1">
        <v>4</v>
      </c>
      <c r="H317" s="1">
        <v>28</v>
      </c>
      <c r="I317" s="1">
        <v>9880</v>
      </c>
      <c r="J317" s="1">
        <v>3</v>
      </c>
      <c r="K317" s="1">
        <v>4</v>
      </c>
      <c r="L317" s="1">
        <v>7</v>
      </c>
    </row>
    <row r="318" spans="1:12" x14ac:dyDescent="0.25">
      <c r="A318" s="1" t="s">
        <v>57</v>
      </c>
      <c r="B318" s="1" t="s">
        <v>615</v>
      </c>
      <c r="C318" s="1" t="s">
        <v>625</v>
      </c>
      <c r="D318" s="1" t="s">
        <v>638</v>
      </c>
      <c r="E318" s="1">
        <v>52</v>
      </c>
      <c r="F318" s="1" t="s">
        <v>641</v>
      </c>
      <c r="G318" s="1">
        <v>4</v>
      </c>
      <c r="H318" s="1">
        <v>31</v>
      </c>
      <c r="I318" s="1">
        <v>9320</v>
      </c>
      <c r="J318" s="1">
        <v>5</v>
      </c>
      <c r="K318" s="1">
        <v>3</v>
      </c>
      <c r="L318" s="1">
        <v>5</v>
      </c>
    </row>
    <row r="319" spans="1:12" x14ac:dyDescent="0.25">
      <c r="A319" s="1" t="s">
        <v>242</v>
      </c>
      <c r="B319" s="1" t="s">
        <v>615</v>
      </c>
      <c r="C319" s="1" t="s">
        <v>622</v>
      </c>
      <c r="D319" s="1" t="s">
        <v>638</v>
      </c>
      <c r="E319" s="1">
        <v>53</v>
      </c>
      <c r="F319" s="1" t="s">
        <v>642</v>
      </c>
      <c r="G319" s="1">
        <v>4</v>
      </c>
      <c r="H319" s="1">
        <v>29</v>
      </c>
      <c r="I319" s="1">
        <v>9310</v>
      </c>
      <c r="J319" s="1">
        <v>2</v>
      </c>
      <c r="K319" s="1">
        <v>2</v>
      </c>
      <c r="L319" s="1">
        <v>7</v>
      </c>
    </row>
    <row r="320" spans="1:12" x14ac:dyDescent="0.25">
      <c r="A320" s="1" t="s">
        <v>90</v>
      </c>
      <c r="B320" s="1" t="s">
        <v>614</v>
      </c>
      <c r="C320" s="1" t="s">
        <v>633</v>
      </c>
      <c r="D320" s="1" t="s">
        <v>637</v>
      </c>
      <c r="E320" s="1">
        <v>60</v>
      </c>
      <c r="F320" s="1" t="s">
        <v>639</v>
      </c>
      <c r="G320" s="1">
        <v>4</v>
      </c>
      <c r="H320" s="1">
        <v>34</v>
      </c>
      <c r="I320" s="1">
        <v>9290</v>
      </c>
      <c r="J320" s="1">
        <v>3</v>
      </c>
      <c r="K320" s="1">
        <v>5</v>
      </c>
      <c r="L320" s="1">
        <v>0</v>
      </c>
    </row>
    <row r="321" spans="1:12" x14ac:dyDescent="0.25">
      <c r="A321" s="1" t="s">
        <v>13</v>
      </c>
      <c r="B321" s="1" t="s">
        <v>612</v>
      </c>
      <c r="C321" s="1" t="s">
        <v>619</v>
      </c>
      <c r="D321" s="1" t="s">
        <v>637</v>
      </c>
      <c r="E321" s="1">
        <v>58</v>
      </c>
      <c r="F321" s="1" t="s">
        <v>639</v>
      </c>
      <c r="G321" s="1">
        <v>4</v>
      </c>
      <c r="H321" s="1">
        <v>38</v>
      </c>
      <c r="I321" s="1">
        <v>9050</v>
      </c>
      <c r="J321" s="1">
        <v>3</v>
      </c>
      <c r="K321" s="1">
        <v>1</v>
      </c>
      <c r="L321" s="1">
        <v>7</v>
      </c>
    </row>
    <row r="322" spans="1:12" x14ac:dyDescent="0.25">
      <c r="A322" s="1" t="s">
        <v>451</v>
      </c>
      <c r="B322" s="1" t="s">
        <v>617</v>
      </c>
      <c r="C322" s="1" t="s">
        <v>628</v>
      </c>
      <c r="D322" s="1" t="s">
        <v>637</v>
      </c>
      <c r="E322" s="1">
        <v>43</v>
      </c>
      <c r="F322" s="1" t="s">
        <v>639</v>
      </c>
      <c r="G322" s="1">
        <v>4</v>
      </c>
      <c r="H322" s="1">
        <v>20</v>
      </c>
      <c r="I322" s="1">
        <v>9010</v>
      </c>
      <c r="J322" s="1">
        <v>3</v>
      </c>
      <c r="K322" s="1">
        <v>4</v>
      </c>
      <c r="L322" s="1">
        <v>21</v>
      </c>
    </row>
    <row r="323" spans="1:12" x14ac:dyDescent="0.25">
      <c r="A323" s="1" t="s">
        <v>320</v>
      </c>
      <c r="B323" s="1" t="s">
        <v>615</v>
      </c>
      <c r="C323" s="1" t="s">
        <v>625</v>
      </c>
      <c r="D323" s="1" t="s">
        <v>637</v>
      </c>
      <c r="E323" s="1">
        <v>60</v>
      </c>
      <c r="F323" s="1" t="s">
        <v>640</v>
      </c>
      <c r="G323" s="1">
        <v>4</v>
      </c>
      <c r="H323" s="1">
        <v>32</v>
      </c>
      <c r="I323" s="1">
        <v>8990</v>
      </c>
      <c r="J323" s="1">
        <v>3</v>
      </c>
      <c r="K323" s="1">
        <v>3</v>
      </c>
      <c r="L323" s="1">
        <v>5</v>
      </c>
    </row>
    <row r="324" spans="1:12" x14ac:dyDescent="0.25">
      <c r="A324" s="1" t="s">
        <v>211</v>
      </c>
      <c r="B324" s="1" t="s">
        <v>613</v>
      </c>
      <c r="C324" s="1" t="s">
        <v>631</v>
      </c>
      <c r="D324" s="1" t="s">
        <v>637</v>
      </c>
      <c r="E324" s="1">
        <v>57</v>
      </c>
      <c r="F324" s="1" t="s">
        <v>639</v>
      </c>
      <c r="G324" s="1">
        <v>4</v>
      </c>
      <c r="H324" s="1">
        <v>32</v>
      </c>
      <c r="I324" s="1">
        <v>8930</v>
      </c>
      <c r="J324" s="1">
        <v>3</v>
      </c>
      <c r="K324" s="1">
        <v>5</v>
      </c>
      <c r="L324" s="1">
        <v>1</v>
      </c>
    </row>
    <row r="325" spans="1:12" x14ac:dyDescent="0.25">
      <c r="A325" s="1" t="s">
        <v>82</v>
      </c>
      <c r="B325" s="1" t="s">
        <v>617</v>
      </c>
      <c r="C325" s="1" t="s">
        <v>627</v>
      </c>
      <c r="D325" s="1" t="s">
        <v>638</v>
      </c>
      <c r="E325" s="1">
        <v>57</v>
      </c>
      <c r="F325" s="1" t="s">
        <v>640</v>
      </c>
      <c r="G325" s="1">
        <v>4</v>
      </c>
      <c r="H325" s="1">
        <v>37</v>
      </c>
      <c r="I325" s="1">
        <v>8770</v>
      </c>
      <c r="J325" s="1">
        <v>3</v>
      </c>
      <c r="K325" s="1">
        <v>4</v>
      </c>
      <c r="L325" s="1">
        <v>25</v>
      </c>
    </row>
    <row r="326" spans="1:12" x14ac:dyDescent="0.25">
      <c r="A326" s="1" t="s">
        <v>562</v>
      </c>
      <c r="B326" s="1" t="s">
        <v>616</v>
      </c>
      <c r="C326" s="1" t="s">
        <v>636</v>
      </c>
      <c r="D326" s="1" t="s">
        <v>638</v>
      </c>
      <c r="E326" s="1">
        <v>51</v>
      </c>
      <c r="F326" s="1" t="s">
        <v>640</v>
      </c>
      <c r="G326" s="1">
        <v>4</v>
      </c>
      <c r="H326" s="1">
        <v>24</v>
      </c>
      <c r="I326" s="1">
        <v>8500</v>
      </c>
      <c r="J326" s="1">
        <v>3</v>
      </c>
      <c r="K326" s="1">
        <v>2</v>
      </c>
      <c r="L326" s="1">
        <v>22</v>
      </c>
    </row>
    <row r="327" spans="1:12" x14ac:dyDescent="0.25">
      <c r="A327" s="1" t="s">
        <v>341</v>
      </c>
      <c r="B327" s="1" t="s">
        <v>612</v>
      </c>
      <c r="C327" s="1" t="s">
        <v>619</v>
      </c>
      <c r="D327" s="1" t="s">
        <v>637</v>
      </c>
      <c r="E327" s="1">
        <v>49</v>
      </c>
      <c r="F327" s="1" t="s">
        <v>639</v>
      </c>
      <c r="G327" s="1">
        <v>4</v>
      </c>
      <c r="H327" s="1">
        <v>29</v>
      </c>
      <c r="I327" s="1">
        <v>8150</v>
      </c>
      <c r="J327" s="1">
        <v>4</v>
      </c>
      <c r="K327" s="1">
        <v>2</v>
      </c>
      <c r="L327" s="1">
        <v>17</v>
      </c>
    </row>
    <row r="328" spans="1:12" x14ac:dyDescent="0.25">
      <c r="A328" s="1" t="s">
        <v>224</v>
      </c>
      <c r="B328" s="1" t="s">
        <v>615</v>
      </c>
      <c r="C328" s="1" t="s">
        <v>629</v>
      </c>
      <c r="D328" s="1" t="s">
        <v>637</v>
      </c>
      <c r="E328" s="1">
        <v>43</v>
      </c>
      <c r="F328" s="1" t="s">
        <v>640</v>
      </c>
      <c r="G328" s="1">
        <v>4</v>
      </c>
      <c r="H328" s="1">
        <v>16</v>
      </c>
      <c r="I328" s="1">
        <v>8080</v>
      </c>
      <c r="J328" s="1">
        <v>1</v>
      </c>
      <c r="K328" s="1">
        <v>4</v>
      </c>
      <c r="L328" s="1">
        <v>15</v>
      </c>
    </row>
    <row r="329" spans="1:12" x14ac:dyDescent="0.25">
      <c r="A329" s="1" t="s">
        <v>350</v>
      </c>
      <c r="B329" s="1" t="s">
        <v>617</v>
      </c>
      <c r="C329" s="1" t="s">
        <v>634</v>
      </c>
      <c r="D329" s="1" t="s">
        <v>637</v>
      </c>
      <c r="E329" s="1">
        <v>55</v>
      </c>
      <c r="F329" s="1" t="s">
        <v>639</v>
      </c>
      <c r="G329" s="1">
        <v>4</v>
      </c>
      <c r="H329" s="1">
        <v>35</v>
      </c>
      <c r="I329" s="1">
        <v>8080</v>
      </c>
      <c r="J329" s="1">
        <v>4</v>
      </c>
      <c r="K329" s="1">
        <v>4</v>
      </c>
      <c r="L329" s="1">
        <v>9</v>
      </c>
    </row>
    <row r="330" spans="1:12" x14ac:dyDescent="0.25">
      <c r="A330" s="1" t="s">
        <v>43</v>
      </c>
      <c r="B330" s="1" t="s">
        <v>613</v>
      </c>
      <c r="C330" s="1" t="s">
        <v>620</v>
      </c>
      <c r="D330" s="1" t="s">
        <v>638</v>
      </c>
      <c r="E330" s="1">
        <v>45</v>
      </c>
      <c r="F330" s="1" t="s">
        <v>639</v>
      </c>
      <c r="G330" s="1">
        <v>4</v>
      </c>
      <c r="H330" s="1">
        <v>20</v>
      </c>
      <c r="I330" s="1">
        <v>8030</v>
      </c>
      <c r="J330" s="1">
        <v>3</v>
      </c>
      <c r="K330" s="1">
        <v>4</v>
      </c>
      <c r="L330" s="1">
        <v>12</v>
      </c>
    </row>
    <row r="331" spans="1:12" x14ac:dyDescent="0.25">
      <c r="A331" s="1" t="s">
        <v>244</v>
      </c>
      <c r="B331" s="1" t="s">
        <v>612</v>
      </c>
      <c r="C331" s="1" t="s">
        <v>630</v>
      </c>
      <c r="D331" s="1" t="s">
        <v>637</v>
      </c>
      <c r="E331" s="1">
        <v>40</v>
      </c>
      <c r="F331" s="1" t="s">
        <v>640</v>
      </c>
      <c r="G331" s="1">
        <v>4</v>
      </c>
      <c r="H331" s="1">
        <v>15</v>
      </c>
      <c r="I331" s="1">
        <v>7740</v>
      </c>
      <c r="J331" s="1">
        <v>2</v>
      </c>
      <c r="K331" s="1">
        <v>1</v>
      </c>
      <c r="L331" s="1">
        <v>5</v>
      </c>
    </row>
    <row r="332" spans="1:12" x14ac:dyDescent="0.25">
      <c r="A332" s="1" t="s">
        <v>573</v>
      </c>
      <c r="B332" s="1" t="s">
        <v>613</v>
      </c>
      <c r="C332" s="1" t="s">
        <v>631</v>
      </c>
      <c r="D332" s="1" t="s">
        <v>637</v>
      </c>
      <c r="E332" s="1">
        <v>45</v>
      </c>
      <c r="F332" s="1" t="s">
        <v>642</v>
      </c>
      <c r="G332" s="1">
        <v>4</v>
      </c>
      <c r="H332" s="1">
        <v>21</v>
      </c>
      <c r="I332" s="1">
        <v>7740</v>
      </c>
      <c r="J332" s="1">
        <v>3</v>
      </c>
      <c r="K332" s="1">
        <v>2</v>
      </c>
      <c r="L332" s="1">
        <v>4</v>
      </c>
    </row>
    <row r="333" spans="1:12" x14ac:dyDescent="0.25">
      <c r="A333" s="1" t="s">
        <v>316</v>
      </c>
      <c r="B333" s="1" t="s">
        <v>614</v>
      </c>
      <c r="C333" s="1" t="s">
        <v>626</v>
      </c>
      <c r="D333" s="1" t="s">
        <v>637</v>
      </c>
      <c r="E333" s="1">
        <v>46</v>
      </c>
      <c r="F333" s="1" t="s">
        <v>640</v>
      </c>
      <c r="G333" s="1">
        <v>4</v>
      </c>
      <c r="H333" s="1">
        <v>17</v>
      </c>
      <c r="I333" s="1">
        <v>7710</v>
      </c>
      <c r="J333" s="1">
        <v>3</v>
      </c>
      <c r="K333" s="1">
        <v>4</v>
      </c>
      <c r="L333" s="1">
        <v>12</v>
      </c>
    </row>
    <row r="334" spans="1:12" x14ac:dyDescent="0.25">
      <c r="A334" s="1" t="s">
        <v>475</v>
      </c>
      <c r="B334" s="1" t="s">
        <v>617</v>
      </c>
      <c r="C334" s="1" t="s">
        <v>627</v>
      </c>
      <c r="D334" s="1" t="s">
        <v>637</v>
      </c>
      <c r="E334" s="1">
        <v>57</v>
      </c>
      <c r="F334" s="1" t="s">
        <v>640</v>
      </c>
      <c r="G334" s="1">
        <v>4</v>
      </c>
      <c r="H334" s="1">
        <v>28</v>
      </c>
      <c r="I334" s="1">
        <v>7700</v>
      </c>
      <c r="J334" s="1">
        <v>3</v>
      </c>
      <c r="K334" s="1">
        <v>3</v>
      </c>
      <c r="L334" s="1">
        <v>3</v>
      </c>
    </row>
    <row r="335" spans="1:12" x14ac:dyDescent="0.25">
      <c r="A335" s="1" t="s">
        <v>63</v>
      </c>
      <c r="B335" s="1" t="s">
        <v>616</v>
      </c>
      <c r="C335" s="1" t="s">
        <v>624</v>
      </c>
      <c r="D335" s="1" t="s">
        <v>637</v>
      </c>
      <c r="E335" s="1">
        <v>57</v>
      </c>
      <c r="F335" s="1" t="s">
        <v>639</v>
      </c>
      <c r="G335" s="1">
        <v>4</v>
      </c>
      <c r="H335" s="1">
        <v>33</v>
      </c>
      <c r="I335" s="1">
        <v>7610</v>
      </c>
      <c r="J335" s="1">
        <v>4</v>
      </c>
      <c r="K335" s="1">
        <v>4</v>
      </c>
      <c r="L335" s="1">
        <v>14</v>
      </c>
    </row>
    <row r="336" spans="1:12" x14ac:dyDescent="0.25">
      <c r="A336" s="1" t="s">
        <v>115</v>
      </c>
      <c r="B336" s="1" t="s">
        <v>615</v>
      </c>
      <c r="C336" s="1" t="s">
        <v>622</v>
      </c>
      <c r="D336" s="1" t="s">
        <v>637</v>
      </c>
      <c r="E336" s="1">
        <v>45</v>
      </c>
      <c r="F336" s="1" t="s">
        <v>640</v>
      </c>
      <c r="G336" s="1">
        <v>4</v>
      </c>
      <c r="H336" s="1">
        <v>20</v>
      </c>
      <c r="I336" s="1">
        <v>7560</v>
      </c>
      <c r="J336" s="1">
        <v>3</v>
      </c>
      <c r="K336" s="1">
        <v>4</v>
      </c>
      <c r="L336" s="1">
        <v>9</v>
      </c>
    </row>
    <row r="337" spans="1:12" x14ac:dyDescent="0.25">
      <c r="A337" s="1" t="s">
        <v>521</v>
      </c>
      <c r="B337" s="1" t="s">
        <v>616</v>
      </c>
      <c r="C337" s="1" t="s">
        <v>624</v>
      </c>
      <c r="D337" s="1" t="s">
        <v>638</v>
      </c>
      <c r="E337" s="1">
        <v>48</v>
      </c>
      <c r="F337" s="1" t="s">
        <v>640</v>
      </c>
      <c r="G337" s="1">
        <v>4</v>
      </c>
      <c r="H337" s="1">
        <v>21</v>
      </c>
      <c r="I337" s="1">
        <v>7540</v>
      </c>
      <c r="J337" s="1">
        <v>2</v>
      </c>
      <c r="K337" s="1">
        <v>5</v>
      </c>
      <c r="L337" s="1">
        <v>7</v>
      </c>
    </row>
    <row r="338" spans="1:12" x14ac:dyDescent="0.25">
      <c r="A338" s="1" t="s">
        <v>522</v>
      </c>
      <c r="B338" s="1" t="s">
        <v>615</v>
      </c>
      <c r="C338" s="1" t="s">
        <v>625</v>
      </c>
      <c r="D338" s="1" t="s">
        <v>638</v>
      </c>
      <c r="E338" s="1">
        <v>34</v>
      </c>
      <c r="F338" s="1" t="s">
        <v>639</v>
      </c>
      <c r="G338" s="1">
        <v>4</v>
      </c>
      <c r="H338" s="1">
        <v>10</v>
      </c>
      <c r="I338" s="1">
        <v>7470</v>
      </c>
      <c r="J338" s="1">
        <v>5</v>
      </c>
      <c r="K338" s="1">
        <v>3</v>
      </c>
      <c r="L338" s="1">
        <v>15</v>
      </c>
    </row>
    <row r="339" spans="1:12" x14ac:dyDescent="0.25">
      <c r="A339" s="1" t="s">
        <v>591</v>
      </c>
      <c r="B339" s="1" t="s">
        <v>614</v>
      </c>
      <c r="C339" s="1" t="s">
        <v>633</v>
      </c>
      <c r="D339" s="1" t="s">
        <v>637</v>
      </c>
      <c r="E339" s="1">
        <v>41</v>
      </c>
      <c r="F339" s="1" t="s">
        <v>639</v>
      </c>
      <c r="G339" s="1">
        <v>4</v>
      </c>
      <c r="H339" s="1">
        <v>12</v>
      </c>
      <c r="I339" s="1">
        <v>7360</v>
      </c>
      <c r="J339" s="1">
        <v>4</v>
      </c>
      <c r="K339" s="1">
        <v>5</v>
      </c>
      <c r="L339" s="1">
        <v>5</v>
      </c>
    </row>
    <row r="340" spans="1:12" x14ac:dyDescent="0.25">
      <c r="A340" s="1" t="s">
        <v>353</v>
      </c>
      <c r="B340" s="1" t="s">
        <v>613</v>
      </c>
      <c r="C340" s="1" t="s">
        <v>620</v>
      </c>
      <c r="D340" s="1" t="s">
        <v>638</v>
      </c>
      <c r="E340" s="1">
        <v>43</v>
      </c>
      <c r="F340" s="1" t="s">
        <v>642</v>
      </c>
      <c r="G340" s="1">
        <v>4</v>
      </c>
      <c r="H340" s="1">
        <v>20</v>
      </c>
      <c r="I340" s="1">
        <v>7050</v>
      </c>
      <c r="J340" s="1">
        <v>2</v>
      </c>
      <c r="K340" s="1">
        <v>3</v>
      </c>
      <c r="L340" s="1">
        <v>10</v>
      </c>
    </row>
    <row r="341" spans="1:12" x14ac:dyDescent="0.25">
      <c r="A341" s="1" t="s">
        <v>598</v>
      </c>
      <c r="B341" s="1" t="s">
        <v>612</v>
      </c>
      <c r="C341" s="1" t="s">
        <v>619</v>
      </c>
      <c r="D341" s="1" t="s">
        <v>638</v>
      </c>
      <c r="E341" s="1">
        <v>42</v>
      </c>
      <c r="F341" s="1" t="s">
        <v>639</v>
      </c>
      <c r="G341" s="1">
        <v>4</v>
      </c>
      <c r="H341" s="1">
        <v>19</v>
      </c>
      <c r="I341" s="1">
        <v>7010</v>
      </c>
      <c r="J341" s="1">
        <v>3</v>
      </c>
      <c r="K341" s="1">
        <v>4</v>
      </c>
      <c r="L341" s="1">
        <v>2</v>
      </c>
    </row>
    <row r="342" spans="1:12" x14ac:dyDescent="0.25">
      <c r="A342" s="1" t="s">
        <v>386</v>
      </c>
      <c r="B342" s="1" t="s">
        <v>616</v>
      </c>
      <c r="C342" s="1" t="s">
        <v>624</v>
      </c>
      <c r="D342" s="1" t="s">
        <v>638</v>
      </c>
      <c r="E342" s="1">
        <v>48</v>
      </c>
      <c r="F342" s="1" t="s">
        <v>639</v>
      </c>
      <c r="G342" s="1">
        <v>4</v>
      </c>
      <c r="H342" s="1">
        <v>19</v>
      </c>
      <c r="I342" s="1">
        <v>6760</v>
      </c>
      <c r="J342" s="1">
        <v>3</v>
      </c>
      <c r="K342" s="1">
        <v>5</v>
      </c>
      <c r="L342" s="1">
        <v>7</v>
      </c>
    </row>
    <row r="343" spans="1:12" x14ac:dyDescent="0.25">
      <c r="A343" s="1" t="s">
        <v>443</v>
      </c>
      <c r="B343" s="1" t="s">
        <v>613</v>
      </c>
      <c r="C343" s="1" t="s">
        <v>620</v>
      </c>
      <c r="D343" s="1" t="s">
        <v>637</v>
      </c>
      <c r="E343" s="1">
        <v>42</v>
      </c>
      <c r="F343" s="1" t="s">
        <v>639</v>
      </c>
      <c r="G343" s="1">
        <v>4</v>
      </c>
      <c r="H343" s="1">
        <v>13</v>
      </c>
      <c r="I343" s="1">
        <v>6650</v>
      </c>
      <c r="J343" s="1">
        <v>3</v>
      </c>
      <c r="K343" s="1">
        <v>3</v>
      </c>
      <c r="L343" s="1">
        <v>0</v>
      </c>
    </row>
    <row r="344" spans="1:12" x14ac:dyDescent="0.25">
      <c r="A344" s="1" t="s">
        <v>148</v>
      </c>
      <c r="B344" s="1" t="s">
        <v>617</v>
      </c>
      <c r="C344" s="1" t="s">
        <v>627</v>
      </c>
      <c r="D344" s="1" t="s">
        <v>638</v>
      </c>
      <c r="E344" s="1">
        <v>40</v>
      </c>
      <c r="F344" s="1" t="s">
        <v>639</v>
      </c>
      <c r="G344" s="1">
        <v>4</v>
      </c>
      <c r="H344" s="1">
        <v>12</v>
      </c>
      <c r="I344" s="1">
        <v>6630</v>
      </c>
      <c r="J344" s="1">
        <v>4</v>
      </c>
      <c r="K344" s="1">
        <v>3</v>
      </c>
      <c r="L344" s="1">
        <v>11</v>
      </c>
    </row>
    <row r="345" spans="1:12" x14ac:dyDescent="0.25">
      <c r="A345" s="1" t="s">
        <v>184</v>
      </c>
      <c r="B345" s="1" t="s">
        <v>615</v>
      </c>
      <c r="C345" s="1" t="s">
        <v>622</v>
      </c>
      <c r="D345" s="1" t="s">
        <v>637</v>
      </c>
      <c r="E345" s="1">
        <v>41</v>
      </c>
      <c r="F345" s="1" t="s">
        <v>641</v>
      </c>
      <c r="G345" s="1">
        <v>4</v>
      </c>
      <c r="H345" s="1">
        <v>16</v>
      </c>
      <c r="I345" s="1">
        <v>6620</v>
      </c>
      <c r="J345" s="1">
        <v>3</v>
      </c>
      <c r="K345" s="1">
        <v>3</v>
      </c>
      <c r="L345" s="1">
        <v>10</v>
      </c>
    </row>
    <row r="346" spans="1:12" x14ac:dyDescent="0.25">
      <c r="A346" s="1" t="s">
        <v>145</v>
      </c>
      <c r="B346" s="1" t="s">
        <v>615</v>
      </c>
      <c r="C346" s="1" t="s">
        <v>622</v>
      </c>
      <c r="D346" s="1" t="s">
        <v>638</v>
      </c>
      <c r="E346" s="1">
        <v>34</v>
      </c>
      <c r="F346" s="1" t="s">
        <v>642</v>
      </c>
      <c r="G346" s="1">
        <v>4</v>
      </c>
      <c r="H346" s="1">
        <v>15</v>
      </c>
      <c r="I346" s="1">
        <v>6560</v>
      </c>
      <c r="J346" s="1">
        <v>3</v>
      </c>
      <c r="K346" s="1">
        <v>4</v>
      </c>
      <c r="L346" s="1">
        <v>9</v>
      </c>
    </row>
    <row r="347" spans="1:12" x14ac:dyDescent="0.25">
      <c r="A347" s="1" t="s">
        <v>450</v>
      </c>
      <c r="B347" s="1" t="s">
        <v>612</v>
      </c>
      <c r="C347" s="1" t="s">
        <v>630</v>
      </c>
      <c r="D347" s="1" t="s">
        <v>638</v>
      </c>
      <c r="E347" s="1">
        <v>28</v>
      </c>
      <c r="F347" s="1" t="s">
        <v>639</v>
      </c>
      <c r="G347" s="1">
        <v>4</v>
      </c>
      <c r="H347" s="1">
        <v>5</v>
      </c>
      <c r="I347" s="1">
        <v>6490</v>
      </c>
      <c r="J347" s="1">
        <v>3</v>
      </c>
      <c r="K347" s="1">
        <v>3</v>
      </c>
      <c r="L347" s="1">
        <v>3</v>
      </c>
    </row>
    <row r="348" spans="1:12" x14ac:dyDescent="0.25">
      <c r="A348" s="1" t="s">
        <v>238</v>
      </c>
      <c r="B348" s="1" t="s">
        <v>612</v>
      </c>
      <c r="C348" s="1" t="s">
        <v>618</v>
      </c>
      <c r="D348" s="1" t="s">
        <v>638</v>
      </c>
      <c r="E348" s="1">
        <v>46</v>
      </c>
      <c r="F348" s="1" t="s">
        <v>639</v>
      </c>
      <c r="G348" s="1">
        <v>4</v>
      </c>
      <c r="H348" s="1">
        <v>22</v>
      </c>
      <c r="I348" s="1">
        <v>6340</v>
      </c>
      <c r="J348" s="1">
        <v>5</v>
      </c>
      <c r="K348" s="1">
        <v>3</v>
      </c>
      <c r="L348" s="1">
        <v>11</v>
      </c>
    </row>
    <row r="349" spans="1:12" x14ac:dyDescent="0.25">
      <c r="A349" s="1" t="s">
        <v>32</v>
      </c>
      <c r="B349" s="1" t="s">
        <v>612</v>
      </c>
      <c r="C349" s="1" t="s">
        <v>618</v>
      </c>
      <c r="D349" s="1" t="s">
        <v>637</v>
      </c>
      <c r="E349" s="1">
        <v>24</v>
      </c>
      <c r="F349" s="1" t="s">
        <v>639</v>
      </c>
      <c r="G349" s="1">
        <v>4</v>
      </c>
      <c r="H349" s="1">
        <v>7</v>
      </c>
      <c r="I349" s="1">
        <v>6300</v>
      </c>
      <c r="J349" s="1">
        <v>4</v>
      </c>
      <c r="K349" s="1">
        <v>3</v>
      </c>
      <c r="L349" s="1">
        <v>5</v>
      </c>
    </row>
    <row r="350" spans="1:12" x14ac:dyDescent="0.25">
      <c r="A350" s="1" t="s">
        <v>204</v>
      </c>
      <c r="B350" s="1" t="s">
        <v>617</v>
      </c>
      <c r="C350" s="1" t="s">
        <v>628</v>
      </c>
      <c r="D350" s="1" t="s">
        <v>638</v>
      </c>
      <c r="E350" s="1">
        <v>31</v>
      </c>
      <c r="F350" s="1" t="s">
        <v>639</v>
      </c>
      <c r="G350" s="1">
        <v>4</v>
      </c>
      <c r="H350" s="1">
        <v>4</v>
      </c>
      <c r="I350" s="1">
        <v>6170</v>
      </c>
      <c r="J350" s="1">
        <v>3</v>
      </c>
      <c r="K350" s="1">
        <v>4</v>
      </c>
      <c r="L350" s="1">
        <v>26</v>
      </c>
    </row>
    <row r="351" spans="1:12" x14ac:dyDescent="0.25">
      <c r="A351" s="1" t="s">
        <v>503</v>
      </c>
      <c r="B351" s="1" t="s">
        <v>617</v>
      </c>
      <c r="C351" s="1" t="s">
        <v>634</v>
      </c>
      <c r="D351" s="1" t="s">
        <v>638</v>
      </c>
      <c r="E351" s="1">
        <v>40</v>
      </c>
      <c r="F351" s="1" t="s">
        <v>640</v>
      </c>
      <c r="G351" s="1">
        <v>4</v>
      </c>
      <c r="H351" s="1">
        <v>16</v>
      </c>
      <c r="I351" s="1">
        <v>6160</v>
      </c>
      <c r="J351" s="1">
        <v>3</v>
      </c>
      <c r="K351" s="1">
        <v>2</v>
      </c>
      <c r="L351" s="1">
        <v>13</v>
      </c>
    </row>
    <row r="352" spans="1:12" x14ac:dyDescent="0.25">
      <c r="A352" s="1" t="s">
        <v>12</v>
      </c>
      <c r="B352" s="1" t="s">
        <v>612</v>
      </c>
      <c r="C352" s="1" t="s">
        <v>618</v>
      </c>
      <c r="D352" s="1" t="s">
        <v>637</v>
      </c>
      <c r="E352" s="1">
        <v>35</v>
      </c>
      <c r="F352" s="1" t="s">
        <v>639</v>
      </c>
      <c r="G352" s="1">
        <v>4</v>
      </c>
      <c r="H352" s="1">
        <v>10</v>
      </c>
      <c r="I352" s="1">
        <v>6100</v>
      </c>
      <c r="J352" s="1">
        <v>4</v>
      </c>
      <c r="K352" s="1">
        <v>1</v>
      </c>
      <c r="L352" s="1">
        <v>17</v>
      </c>
    </row>
    <row r="353" spans="1:12" x14ac:dyDescent="0.25">
      <c r="A353" s="1" t="s">
        <v>220</v>
      </c>
      <c r="B353" s="1" t="s">
        <v>617</v>
      </c>
      <c r="C353" s="1" t="s">
        <v>627</v>
      </c>
      <c r="D353" s="1" t="s">
        <v>638</v>
      </c>
      <c r="E353" s="1">
        <v>32</v>
      </c>
      <c r="F353" s="1" t="s">
        <v>641</v>
      </c>
      <c r="G353" s="1">
        <v>4</v>
      </c>
      <c r="H353" s="1">
        <v>4</v>
      </c>
      <c r="I353" s="1">
        <v>5570</v>
      </c>
      <c r="J353" s="1">
        <v>3</v>
      </c>
      <c r="K353" s="1">
        <v>5</v>
      </c>
      <c r="L353" s="1">
        <v>20</v>
      </c>
    </row>
    <row r="354" spans="1:12" x14ac:dyDescent="0.25">
      <c r="A354" s="1" t="s">
        <v>446</v>
      </c>
      <c r="B354" s="1" t="s">
        <v>617</v>
      </c>
      <c r="C354" s="1" t="s">
        <v>634</v>
      </c>
      <c r="D354" s="1" t="s">
        <v>638</v>
      </c>
      <c r="E354" s="1">
        <v>28</v>
      </c>
      <c r="F354" s="1" t="s">
        <v>639</v>
      </c>
      <c r="G354" s="1">
        <v>4</v>
      </c>
      <c r="H354" s="1">
        <v>6</v>
      </c>
      <c r="I354" s="1">
        <v>5530</v>
      </c>
      <c r="J354" s="1">
        <v>3</v>
      </c>
      <c r="K354" s="1">
        <v>3</v>
      </c>
      <c r="L354" s="1">
        <v>17</v>
      </c>
    </row>
    <row r="355" spans="1:12" x14ac:dyDescent="0.25">
      <c r="A355" s="1" t="s">
        <v>206</v>
      </c>
      <c r="B355" s="1" t="s">
        <v>613</v>
      </c>
      <c r="C355" s="1" t="s">
        <v>620</v>
      </c>
      <c r="D355" s="1" t="s">
        <v>638</v>
      </c>
      <c r="E355" s="1">
        <v>26</v>
      </c>
      <c r="F355" s="1" t="s">
        <v>640</v>
      </c>
      <c r="G355" s="1">
        <v>4</v>
      </c>
      <c r="H355" s="1">
        <v>6</v>
      </c>
      <c r="I355" s="1">
        <v>5130</v>
      </c>
      <c r="J355" s="1">
        <v>3</v>
      </c>
      <c r="K355" s="1">
        <v>3</v>
      </c>
      <c r="L355" s="1">
        <v>1</v>
      </c>
    </row>
    <row r="356" spans="1:12" x14ac:dyDescent="0.25">
      <c r="A356" s="1" t="s">
        <v>59</v>
      </c>
      <c r="B356" s="1" t="s">
        <v>612</v>
      </c>
      <c r="C356" s="1" t="s">
        <v>619</v>
      </c>
      <c r="D356" s="1" t="s">
        <v>638</v>
      </c>
      <c r="E356" s="1">
        <v>28</v>
      </c>
      <c r="F356" s="1" t="s">
        <v>641</v>
      </c>
      <c r="G356" s="1">
        <v>4</v>
      </c>
      <c r="H356" s="1">
        <v>8</v>
      </c>
      <c r="I356" s="1">
        <v>4780</v>
      </c>
      <c r="J356" s="1">
        <v>4</v>
      </c>
      <c r="K356" s="1">
        <v>4</v>
      </c>
      <c r="L356" s="1">
        <v>13</v>
      </c>
    </row>
    <row r="357" spans="1:12" x14ac:dyDescent="0.25">
      <c r="A357" s="1" t="s">
        <v>344</v>
      </c>
      <c r="B357" s="1" t="s">
        <v>617</v>
      </c>
      <c r="C357" s="1" t="s">
        <v>634</v>
      </c>
      <c r="D357" s="1" t="s">
        <v>637</v>
      </c>
      <c r="E357" s="1">
        <v>23</v>
      </c>
      <c r="F357" s="1" t="s">
        <v>640</v>
      </c>
      <c r="G357" s="1">
        <v>4</v>
      </c>
      <c r="H357" s="1">
        <v>6</v>
      </c>
      <c r="I357" s="1">
        <v>4340</v>
      </c>
      <c r="J357" s="1">
        <v>4</v>
      </c>
      <c r="K357" s="1">
        <v>4</v>
      </c>
      <c r="L357" s="1">
        <v>8</v>
      </c>
    </row>
    <row r="358" spans="1:12" x14ac:dyDescent="0.25">
      <c r="A358" s="1" t="s">
        <v>340</v>
      </c>
      <c r="B358" s="1" t="s">
        <v>614</v>
      </c>
      <c r="C358" s="1" t="s">
        <v>621</v>
      </c>
      <c r="D358" s="1" t="s">
        <v>638</v>
      </c>
      <c r="E358" s="1">
        <v>57</v>
      </c>
      <c r="F358" s="1" t="s">
        <v>642</v>
      </c>
      <c r="G358" s="1">
        <v>3</v>
      </c>
      <c r="H358" s="1">
        <v>30</v>
      </c>
      <c r="I358" s="1">
        <v>9810</v>
      </c>
      <c r="J358" s="1">
        <v>4</v>
      </c>
      <c r="K358" s="1">
        <v>2</v>
      </c>
      <c r="L358" s="1">
        <v>21</v>
      </c>
    </row>
    <row r="359" spans="1:12" x14ac:dyDescent="0.25">
      <c r="A359" s="1" t="s">
        <v>237</v>
      </c>
      <c r="B359" s="1" t="s">
        <v>614</v>
      </c>
      <c r="C359" s="1" t="s">
        <v>626</v>
      </c>
      <c r="D359" s="1" t="s">
        <v>638</v>
      </c>
      <c r="E359" s="1">
        <v>60</v>
      </c>
      <c r="F359" s="1" t="s">
        <v>639</v>
      </c>
      <c r="G359" s="1">
        <v>3</v>
      </c>
      <c r="H359" s="1">
        <v>40</v>
      </c>
      <c r="I359" s="1">
        <v>9770</v>
      </c>
      <c r="J359" s="1">
        <v>1</v>
      </c>
      <c r="K359" s="1">
        <v>3</v>
      </c>
      <c r="L359" s="1">
        <v>10</v>
      </c>
    </row>
    <row r="360" spans="1:12" x14ac:dyDescent="0.25">
      <c r="A360" s="1" t="s">
        <v>111</v>
      </c>
      <c r="B360" s="1" t="s">
        <v>615</v>
      </c>
      <c r="C360" s="1" t="s">
        <v>629</v>
      </c>
      <c r="D360" s="1" t="s">
        <v>638</v>
      </c>
      <c r="E360" s="1">
        <v>43</v>
      </c>
      <c r="F360" s="1" t="s">
        <v>640</v>
      </c>
      <c r="G360" s="1">
        <v>3</v>
      </c>
      <c r="H360" s="1">
        <v>25</v>
      </c>
      <c r="I360" s="1">
        <v>9690</v>
      </c>
      <c r="J360" s="1">
        <v>1</v>
      </c>
      <c r="K360" s="1">
        <v>4</v>
      </c>
      <c r="L360" s="1">
        <v>6</v>
      </c>
    </row>
    <row r="361" spans="1:12" x14ac:dyDescent="0.25">
      <c r="A361" s="1" t="s">
        <v>481</v>
      </c>
      <c r="B361" s="1" t="s">
        <v>613</v>
      </c>
      <c r="C361" s="1" t="s">
        <v>623</v>
      </c>
      <c r="D361" s="1" t="s">
        <v>637</v>
      </c>
      <c r="E361" s="1">
        <v>55</v>
      </c>
      <c r="F361" s="1" t="s">
        <v>640</v>
      </c>
      <c r="G361" s="1">
        <v>3</v>
      </c>
      <c r="H361" s="1">
        <v>30</v>
      </c>
      <c r="I361" s="1">
        <v>9300</v>
      </c>
      <c r="J361" s="1">
        <v>4</v>
      </c>
      <c r="K361" s="1">
        <v>3</v>
      </c>
      <c r="L361" s="1">
        <v>22</v>
      </c>
    </row>
    <row r="362" spans="1:12" x14ac:dyDescent="0.25">
      <c r="A362" s="1" t="s">
        <v>215</v>
      </c>
      <c r="B362" s="1" t="s">
        <v>617</v>
      </c>
      <c r="C362" s="1" t="s">
        <v>628</v>
      </c>
      <c r="D362" s="1" t="s">
        <v>638</v>
      </c>
      <c r="E362" s="1">
        <v>52</v>
      </c>
      <c r="F362" s="1" t="s">
        <v>639</v>
      </c>
      <c r="G362" s="1">
        <v>3</v>
      </c>
      <c r="H362" s="1">
        <v>28</v>
      </c>
      <c r="I362" s="1">
        <v>9150</v>
      </c>
      <c r="J362" s="1">
        <v>1</v>
      </c>
      <c r="K362" s="1">
        <v>2</v>
      </c>
      <c r="L362" s="1">
        <v>16</v>
      </c>
    </row>
    <row r="363" spans="1:12" x14ac:dyDescent="0.25">
      <c r="A363" s="1" t="s">
        <v>497</v>
      </c>
      <c r="B363" s="1" t="s">
        <v>617</v>
      </c>
      <c r="C363" s="1" t="s">
        <v>628</v>
      </c>
      <c r="D363" s="1" t="s">
        <v>637</v>
      </c>
      <c r="E363" s="1">
        <v>46</v>
      </c>
      <c r="F363" s="1" t="s">
        <v>640</v>
      </c>
      <c r="G363" s="1">
        <v>3</v>
      </c>
      <c r="H363" s="1">
        <v>25</v>
      </c>
      <c r="I363" s="1">
        <v>9120</v>
      </c>
      <c r="J363" s="1">
        <v>4</v>
      </c>
      <c r="K363" s="1">
        <v>4</v>
      </c>
      <c r="L363" s="1">
        <v>15</v>
      </c>
    </row>
    <row r="364" spans="1:12" x14ac:dyDescent="0.25">
      <c r="A364" s="1" t="s">
        <v>207</v>
      </c>
      <c r="B364" s="1" t="s">
        <v>615</v>
      </c>
      <c r="C364" s="1" t="s">
        <v>625</v>
      </c>
      <c r="D364" s="1" t="s">
        <v>638</v>
      </c>
      <c r="E364" s="1">
        <v>56</v>
      </c>
      <c r="F364" s="1" t="s">
        <v>642</v>
      </c>
      <c r="G364" s="1">
        <v>3</v>
      </c>
      <c r="H364" s="1">
        <v>30</v>
      </c>
      <c r="I364" s="1">
        <v>8930</v>
      </c>
      <c r="J364" s="1">
        <v>5</v>
      </c>
      <c r="K364" s="1">
        <v>3</v>
      </c>
      <c r="L364" s="1">
        <v>3</v>
      </c>
    </row>
    <row r="365" spans="1:12" x14ac:dyDescent="0.25">
      <c r="A365" s="1" t="s">
        <v>212</v>
      </c>
      <c r="B365" s="1" t="s">
        <v>612</v>
      </c>
      <c r="C365" s="1" t="s">
        <v>618</v>
      </c>
      <c r="D365" s="1" t="s">
        <v>638</v>
      </c>
      <c r="E365" s="1">
        <v>53</v>
      </c>
      <c r="F365" s="1" t="s">
        <v>639</v>
      </c>
      <c r="G365" s="1">
        <v>3</v>
      </c>
      <c r="H365" s="1">
        <v>34</v>
      </c>
      <c r="I365" s="1">
        <v>8640</v>
      </c>
      <c r="J365" s="1">
        <v>3</v>
      </c>
      <c r="K365" s="1">
        <v>5</v>
      </c>
      <c r="L365" s="1">
        <v>6</v>
      </c>
    </row>
    <row r="366" spans="1:12" x14ac:dyDescent="0.25">
      <c r="A366" s="1" t="s">
        <v>406</v>
      </c>
      <c r="B366" s="1" t="s">
        <v>616</v>
      </c>
      <c r="C366" s="1" t="s">
        <v>636</v>
      </c>
      <c r="D366" s="1" t="s">
        <v>638</v>
      </c>
      <c r="E366" s="1">
        <v>49</v>
      </c>
      <c r="F366" s="1" t="s">
        <v>640</v>
      </c>
      <c r="G366" s="1">
        <v>3</v>
      </c>
      <c r="H366" s="1">
        <v>29</v>
      </c>
      <c r="I366" s="1">
        <v>8460</v>
      </c>
      <c r="J366" s="1">
        <v>3</v>
      </c>
      <c r="K366" s="1">
        <v>3</v>
      </c>
      <c r="L366" s="1">
        <v>5</v>
      </c>
    </row>
    <row r="367" spans="1:12" x14ac:dyDescent="0.25">
      <c r="A367" s="1" t="s">
        <v>189</v>
      </c>
      <c r="B367" s="1" t="s">
        <v>612</v>
      </c>
      <c r="C367" s="1" t="s">
        <v>618</v>
      </c>
      <c r="D367" s="1" t="s">
        <v>637</v>
      </c>
      <c r="E367" s="1">
        <v>60</v>
      </c>
      <c r="F367" s="1" t="s">
        <v>640</v>
      </c>
      <c r="G367" s="1">
        <v>3</v>
      </c>
      <c r="H367" s="1">
        <v>37</v>
      </c>
      <c r="I367" s="1">
        <v>8320</v>
      </c>
      <c r="J367" s="1">
        <v>3</v>
      </c>
      <c r="K367" s="1">
        <v>2</v>
      </c>
      <c r="L367" s="1">
        <v>14</v>
      </c>
    </row>
    <row r="368" spans="1:12" x14ac:dyDescent="0.25">
      <c r="A368" s="1" t="s">
        <v>530</v>
      </c>
      <c r="B368" s="1" t="s">
        <v>613</v>
      </c>
      <c r="C368" s="1" t="s">
        <v>620</v>
      </c>
      <c r="D368" s="1" t="s">
        <v>637</v>
      </c>
      <c r="E368" s="1">
        <v>56</v>
      </c>
      <c r="F368" s="1" t="s">
        <v>641</v>
      </c>
      <c r="G368" s="1">
        <v>3</v>
      </c>
      <c r="H368" s="1">
        <v>34</v>
      </c>
      <c r="I368" s="1">
        <v>8310</v>
      </c>
      <c r="J368" s="1">
        <v>4</v>
      </c>
      <c r="K368" s="1">
        <v>1</v>
      </c>
      <c r="L368" s="1">
        <v>5</v>
      </c>
    </row>
    <row r="369" spans="1:12" x14ac:dyDescent="0.25">
      <c r="A369" s="1" t="s">
        <v>391</v>
      </c>
      <c r="B369" s="1" t="s">
        <v>612</v>
      </c>
      <c r="C369" s="1" t="s">
        <v>630</v>
      </c>
      <c r="D369" s="1" t="s">
        <v>638</v>
      </c>
      <c r="E369" s="1">
        <v>37</v>
      </c>
      <c r="F369" s="1" t="s">
        <v>639</v>
      </c>
      <c r="G369" s="1">
        <v>3</v>
      </c>
      <c r="H369" s="1">
        <v>15</v>
      </c>
      <c r="I369" s="1">
        <v>8200</v>
      </c>
      <c r="J369" s="1">
        <v>4</v>
      </c>
      <c r="K369" s="1">
        <v>4</v>
      </c>
      <c r="L369" s="1">
        <v>8</v>
      </c>
    </row>
    <row r="370" spans="1:12" x14ac:dyDescent="0.25">
      <c r="A370" s="1" t="s">
        <v>87</v>
      </c>
      <c r="B370" s="1" t="s">
        <v>616</v>
      </c>
      <c r="C370" s="1" t="s">
        <v>635</v>
      </c>
      <c r="D370" s="1" t="s">
        <v>637</v>
      </c>
      <c r="E370" s="1">
        <v>47</v>
      </c>
      <c r="F370" s="1" t="s">
        <v>639</v>
      </c>
      <c r="G370" s="1">
        <v>3</v>
      </c>
      <c r="H370" s="1">
        <v>25</v>
      </c>
      <c r="I370" s="1">
        <v>8130</v>
      </c>
      <c r="J370" s="1">
        <v>3</v>
      </c>
      <c r="K370" s="1">
        <v>5</v>
      </c>
      <c r="L370" s="1">
        <v>1</v>
      </c>
    </row>
    <row r="371" spans="1:12" x14ac:dyDescent="0.25">
      <c r="A371" s="1" t="s">
        <v>377</v>
      </c>
      <c r="B371" s="1" t="s">
        <v>612</v>
      </c>
      <c r="C371" s="1" t="s">
        <v>619</v>
      </c>
      <c r="D371" s="1" t="s">
        <v>637</v>
      </c>
      <c r="E371" s="1">
        <v>52</v>
      </c>
      <c r="F371" s="1" t="s">
        <v>639</v>
      </c>
      <c r="G371" s="1">
        <v>3</v>
      </c>
      <c r="H371" s="1">
        <v>30</v>
      </c>
      <c r="I371" s="1">
        <v>7770</v>
      </c>
      <c r="J371" s="1">
        <v>3</v>
      </c>
      <c r="K371" s="1">
        <v>3</v>
      </c>
      <c r="L371" s="1">
        <v>8</v>
      </c>
    </row>
    <row r="372" spans="1:12" x14ac:dyDescent="0.25">
      <c r="A372" s="1" t="s">
        <v>420</v>
      </c>
      <c r="B372" s="1" t="s">
        <v>612</v>
      </c>
      <c r="C372" s="1" t="s">
        <v>630</v>
      </c>
      <c r="D372" s="1" t="s">
        <v>637</v>
      </c>
      <c r="E372" s="1">
        <v>45</v>
      </c>
      <c r="F372" s="1" t="s">
        <v>642</v>
      </c>
      <c r="G372" s="1">
        <v>3</v>
      </c>
      <c r="H372" s="1">
        <v>16</v>
      </c>
      <c r="I372" s="1">
        <v>7700</v>
      </c>
      <c r="J372" s="1">
        <v>2</v>
      </c>
      <c r="K372" s="1">
        <v>2</v>
      </c>
      <c r="L372" s="1">
        <v>12</v>
      </c>
    </row>
    <row r="373" spans="1:12" x14ac:dyDescent="0.25">
      <c r="A373" s="1" t="s">
        <v>85</v>
      </c>
      <c r="B373" s="1" t="s">
        <v>616</v>
      </c>
      <c r="C373" s="1" t="s">
        <v>624</v>
      </c>
      <c r="D373" s="1" t="s">
        <v>637</v>
      </c>
      <c r="E373" s="1">
        <v>50</v>
      </c>
      <c r="F373" s="1" t="s">
        <v>641</v>
      </c>
      <c r="G373" s="1">
        <v>3</v>
      </c>
      <c r="H373" s="1">
        <v>24</v>
      </c>
      <c r="I373" s="1">
        <v>7620</v>
      </c>
      <c r="J373" s="1">
        <v>4</v>
      </c>
      <c r="K373" s="1">
        <v>2</v>
      </c>
      <c r="L373" s="1">
        <v>17</v>
      </c>
    </row>
    <row r="374" spans="1:12" x14ac:dyDescent="0.25">
      <c r="A374" s="1" t="s">
        <v>297</v>
      </c>
      <c r="B374" s="1" t="s">
        <v>615</v>
      </c>
      <c r="C374" s="1" t="s">
        <v>625</v>
      </c>
      <c r="D374" s="1" t="s">
        <v>638</v>
      </c>
      <c r="E374" s="1">
        <v>44</v>
      </c>
      <c r="F374" s="1" t="s">
        <v>639</v>
      </c>
      <c r="G374" s="1">
        <v>3</v>
      </c>
      <c r="H374" s="1">
        <v>16</v>
      </c>
      <c r="I374" s="1">
        <v>7580</v>
      </c>
      <c r="J374" s="1">
        <v>3</v>
      </c>
      <c r="K374" s="1">
        <v>3</v>
      </c>
      <c r="L374" s="1">
        <v>17</v>
      </c>
    </row>
    <row r="375" spans="1:12" x14ac:dyDescent="0.25">
      <c r="A375" s="1" t="s">
        <v>199</v>
      </c>
      <c r="B375" s="1" t="s">
        <v>613</v>
      </c>
      <c r="C375" s="1" t="s">
        <v>620</v>
      </c>
      <c r="D375" s="1" t="s">
        <v>637</v>
      </c>
      <c r="E375" s="1">
        <v>54</v>
      </c>
      <c r="F375" s="1" t="s">
        <v>639</v>
      </c>
      <c r="G375" s="1">
        <v>3</v>
      </c>
      <c r="H375" s="1">
        <v>28</v>
      </c>
      <c r="I375" s="1">
        <v>7520</v>
      </c>
      <c r="J375" s="1">
        <v>4</v>
      </c>
      <c r="K375" s="1">
        <v>5</v>
      </c>
      <c r="L375" s="1">
        <v>4</v>
      </c>
    </row>
    <row r="376" spans="1:12" x14ac:dyDescent="0.25">
      <c r="A376" s="1" t="s">
        <v>131</v>
      </c>
      <c r="B376" s="1" t="s">
        <v>613</v>
      </c>
      <c r="C376" s="1" t="s">
        <v>631</v>
      </c>
      <c r="D376" s="1" t="s">
        <v>637</v>
      </c>
      <c r="E376" s="1">
        <v>41</v>
      </c>
      <c r="F376" s="1" t="s">
        <v>639</v>
      </c>
      <c r="G376" s="1">
        <v>3</v>
      </c>
      <c r="H376" s="1">
        <v>17</v>
      </c>
      <c r="I376" s="1">
        <v>7490</v>
      </c>
      <c r="J376" s="1">
        <v>3</v>
      </c>
      <c r="K376" s="1">
        <v>3</v>
      </c>
      <c r="L376" s="1">
        <v>9</v>
      </c>
    </row>
    <row r="377" spans="1:12" x14ac:dyDescent="0.25">
      <c r="A377" s="1" t="s">
        <v>139</v>
      </c>
      <c r="B377" s="1" t="s">
        <v>615</v>
      </c>
      <c r="C377" s="1" t="s">
        <v>622</v>
      </c>
      <c r="D377" s="1" t="s">
        <v>637</v>
      </c>
      <c r="E377" s="1">
        <v>40</v>
      </c>
      <c r="F377" s="1" t="s">
        <v>639</v>
      </c>
      <c r="G377" s="1">
        <v>3</v>
      </c>
      <c r="H377" s="1">
        <v>14</v>
      </c>
      <c r="I377" s="1">
        <v>7490</v>
      </c>
      <c r="J377" s="1">
        <v>3</v>
      </c>
      <c r="K377" s="1">
        <v>1</v>
      </c>
      <c r="L377" s="1">
        <v>13</v>
      </c>
    </row>
    <row r="378" spans="1:12" x14ac:dyDescent="0.25">
      <c r="A378" s="1" t="s">
        <v>368</v>
      </c>
      <c r="B378" s="1" t="s">
        <v>617</v>
      </c>
      <c r="C378" s="1" t="s">
        <v>627</v>
      </c>
      <c r="D378" s="1" t="s">
        <v>637</v>
      </c>
      <c r="E378" s="1">
        <v>51</v>
      </c>
      <c r="F378" s="1" t="s">
        <v>640</v>
      </c>
      <c r="G378" s="1">
        <v>3</v>
      </c>
      <c r="H378" s="1">
        <v>30</v>
      </c>
      <c r="I378" s="1">
        <v>7430</v>
      </c>
      <c r="J378" s="1">
        <v>4</v>
      </c>
      <c r="K378" s="1">
        <v>3</v>
      </c>
      <c r="L378" s="1">
        <v>5</v>
      </c>
    </row>
    <row r="379" spans="1:12" x14ac:dyDescent="0.25">
      <c r="A379" s="1" t="s">
        <v>463</v>
      </c>
      <c r="B379" s="1" t="s">
        <v>612</v>
      </c>
      <c r="C379" s="1" t="s">
        <v>630</v>
      </c>
      <c r="D379" s="1" t="s">
        <v>637</v>
      </c>
      <c r="E379" s="1">
        <v>36</v>
      </c>
      <c r="F379" s="1" t="s">
        <v>640</v>
      </c>
      <c r="G379" s="1">
        <v>3</v>
      </c>
      <c r="H379" s="1">
        <v>7</v>
      </c>
      <c r="I379" s="1">
        <v>7300</v>
      </c>
      <c r="J379" s="1">
        <v>2</v>
      </c>
      <c r="K379" s="1">
        <v>4</v>
      </c>
      <c r="L379" s="1">
        <v>5</v>
      </c>
    </row>
    <row r="380" spans="1:12" x14ac:dyDescent="0.25">
      <c r="A380" s="1" t="s">
        <v>66</v>
      </c>
      <c r="B380" s="1" t="s">
        <v>615</v>
      </c>
      <c r="C380" s="1" t="s">
        <v>622</v>
      </c>
      <c r="D380" s="1" t="s">
        <v>638</v>
      </c>
      <c r="E380" s="1">
        <v>35</v>
      </c>
      <c r="F380" s="1" t="s">
        <v>639</v>
      </c>
      <c r="G380" s="1">
        <v>3</v>
      </c>
      <c r="H380" s="1">
        <v>12</v>
      </c>
      <c r="I380" s="1">
        <v>7020</v>
      </c>
      <c r="J380" s="1">
        <v>3</v>
      </c>
      <c r="K380" s="1">
        <v>3</v>
      </c>
      <c r="L380" s="1">
        <v>9</v>
      </c>
    </row>
    <row r="381" spans="1:12" x14ac:dyDescent="0.25">
      <c r="A381" s="1" t="s">
        <v>550</v>
      </c>
      <c r="B381" s="1" t="s">
        <v>617</v>
      </c>
      <c r="C381" s="1" t="s">
        <v>628</v>
      </c>
      <c r="D381" s="1" t="s">
        <v>637</v>
      </c>
      <c r="E381" s="1">
        <v>32</v>
      </c>
      <c r="F381" s="1" t="s">
        <v>640</v>
      </c>
      <c r="G381" s="1">
        <v>3</v>
      </c>
      <c r="H381" s="1">
        <v>7</v>
      </c>
      <c r="I381" s="1">
        <v>7010</v>
      </c>
      <c r="J381" s="1">
        <v>3</v>
      </c>
      <c r="K381" s="1">
        <v>3</v>
      </c>
      <c r="L381" s="1">
        <v>27</v>
      </c>
    </row>
    <row r="382" spans="1:12" x14ac:dyDescent="0.25">
      <c r="A382" s="1" t="s">
        <v>560</v>
      </c>
      <c r="B382" s="1" t="s">
        <v>615</v>
      </c>
      <c r="C382" s="1" t="s">
        <v>625</v>
      </c>
      <c r="D382" s="1" t="s">
        <v>638</v>
      </c>
      <c r="E382" s="1">
        <v>29</v>
      </c>
      <c r="F382" s="1" t="s">
        <v>640</v>
      </c>
      <c r="G382" s="1">
        <v>3</v>
      </c>
      <c r="H382" s="1">
        <v>7</v>
      </c>
      <c r="I382" s="1">
        <v>6880</v>
      </c>
      <c r="J382" s="1">
        <v>3</v>
      </c>
      <c r="K382" s="1">
        <v>5</v>
      </c>
      <c r="L382" s="1">
        <v>9</v>
      </c>
    </row>
    <row r="383" spans="1:12" x14ac:dyDescent="0.25">
      <c r="A383" s="1" t="s">
        <v>474</v>
      </c>
      <c r="B383" s="1" t="s">
        <v>615</v>
      </c>
      <c r="C383" s="1" t="s">
        <v>622</v>
      </c>
      <c r="D383" s="1" t="s">
        <v>637</v>
      </c>
      <c r="E383" s="1">
        <v>37</v>
      </c>
      <c r="F383" s="1" t="s">
        <v>639</v>
      </c>
      <c r="G383" s="1">
        <v>3</v>
      </c>
      <c r="H383" s="1">
        <v>10</v>
      </c>
      <c r="I383" s="1">
        <v>6820</v>
      </c>
      <c r="J383" s="1">
        <v>5</v>
      </c>
      <c r="K383" s="1">
        <v>3</v>
      </c>
      <c r="L383" s="1">
        <v>0</v>
      </c>
    </row>
    <row r="384" spans="1:12" x14ac:dyDescent="0.25">
      <c r="A384" s="1" t="s">
        <v>191</v>
      </c>
      <c r="B384" s="1" t="s">
        <v>614</v>
      </c>
      <c r="C384" s="1" t="s">
        <v>621</v>
      </c>
      <c r="D384" s="1" t="s">
        <v>637</v>
      </c>
      <c r="E384" s="1">
        <v>30</v>
      </c>
      <c r="F384" s="1" t="s">
        <v>639</v>
      </c>
      <c r="G384" s="1">
        <v>3</v>
      </c>
      <c r="H384" s="1">
        <v>7</v>
      </c>
      <c r="I384" s="1">
        <v>6720</v>
      </c>
      <c r="J384" s="1">
        <v>5</v>
      </c>
      <c r="K384" s="1">
        <v>3</v>
      </c>
      <c r="L384" s="1">
        <v>3</v>
      </c>
    </row>
    <row r="385" spans="1:12" x14ac:dyDescent="0.25">
      <c r="A385" s="1" t="s">
        <v>383</v>
      </c>
      <c r="B385" s="1" t="s">
        <v>615</v>
      </c>
      <c r="C385" s="1" t="s">
        <v>625</v>
      </c>
      <c r="D385" s="1" t="s">
        <v>638</v>
      </c>
      <c r="E385" s="1">
        <v>26</v>
      </c>
      <c r="F385" s="1" t="s">
        <v>640</v>
      </c>
      <c r="G385" s="1">
        <v>3</v>
      </c>
      <c r="H385" s="1">
        <v>6</v>
      </c>
      <c r="I385" s="1">
        <v>6700</v>
      </c>
      <c r="J385" s="1">
        <v>4</v>
      </c>
      <c r="K385" s="1">
        <v>3</v>
      </c>
      <c r="L385" s="1">
        <v>11</v>
      </c>
    </row>
    <row r="386" spans="1:12" x14ac:dyDescent="0.25">
      <c r="A386" s="1" t="s">
        <v>197</v>
      </c>
      <c r="B386" s="1" t="s">
        <v>615</v>
      </c>
      <c r="C386" s="1" t="s">
        <v>622</v>
      </c>
      <c r="D386" s="1" t="s">
        <v>637</v>
      </c>
      <c r="E386" s="1">
        <v>36</v>
      </c>
      <c r="F386" s="1" t="s">
        <v>640</v>
      </c>
      <c r="G386" s="1">
        <v>3</v>
      </c>
      <c r="H386" s="1">
        <v>7</v>
      </c>
      <c r="I386" s="1">
        <v>6680</v>
      </c>
      <c r="J386" s="1">
        <v>3</v>
      </c>
      <c r="K386" s="1">
        <v>3</v>
      </c>
      <c r="L386" s="1">
        <v>7</v>
      </c>
    </row>
    <row r="387" spans="1:12" x14ac:dyDescent="0.25">
      <c r="A387" s="1" t="s">
        <v>125</v>
      </c>
      <c r="B387" s="1" t="s">
        <v>617</v>
      </c>
      <c r="C387" s="1" t="s">
        <v>627</v>
      </c>
      <c r="D387" s="1" t="s">
        <v>638</v>
      </c>
      <c r="E387" s="1">
        <v>50</v>
      </c>
      <c r="F387" s="1" t="s">
        <v>639</v>
      </c>
      <c r="G387" s="1">
        <v>3</v>
      </c>
      <c r="H387" s="1">
        <v>23</v>
      </c>
      <c r="I387" s="1">
        <v>6590</v>
      </c>
      <c r="J387" s="1">
        <v>3</v>
      </c>
      <c r="K387" s="1">
        <v>2</v>
      </c>
      <c r="L387" s="1">
        <v>16</v>
      </c>
    </row>
    <row r="388" spans="1:12" x14ac:dyDescent="0.25">
      <c r="A388" s="1" t="s">
        <v>490</v>
      </c>
      <c r="B388" s="1" t="s">
        <v>615</v>
      </c>
      <c r="C388" s="1" t="s">
        <v>629</v>
      </c>
      <c r="D388" s="1" t="s">
        <v>637</v>
      </c>
      <c r="E388" s="1">
        <v>32</v>
      </c>
      <c r="F388" s="1" t="s">
        <v>639</v>
      </c>
      <c r="G388" s="1">
        <v>3</v>
      </c>
      <c r="H388" s="1">
        <v>3</v>
      </c>
      <c r="I388" s="1">
        <v>6560</v>
      </c>
      <c r="J388" s="1">
        <v>3</v>
      </c>
      <c r="K388" s="1">
        <v>4</v>
      </c>
      <c r="L388" s="1">
        <v>14</v>
      </c>
    </row>
    <row r="389" spans="1:12" x14ac:dyDescent="0.25">
      <c r="A389" s="1" t="s">
        <v>309</v>
      </c>
      <c r="B389" s="1" t="s">
        <v>613</v>
      </c>
      <c r="C389" s="1" t="s">
        <v>631</v>
      </c>
      <c r="D389" s="1" t="s">
        <v>638</v>
      </c>
      <c r="E389" s="1">
        <v>31</v>
      </c>
      <c r="F389" s="1" t="s">
        <v>639</v>
      </c>
      <c r="G389" s="1">
        <v>3</v>
      </c>
      <c r="H389" s="1">
        <v>7</v>
      </c>
      <c r="I389" s="1">
        <v>6550</v>
      </c>
      <c r="J389" s="1">
        <v>3</v>
      </c>
      <c r="K389" s="1">
        <v>2</v>
      </c>
      <c r="L389" s="1">
        <v>4</v>
      </c>
    </row>
    <row r="390" spans="1:12" x14ac:dyDescent="0.25">
      <c r="A390" s="1" t="s">
        <v>24</v>
      </c>
      <c r="B390" s="1" t="s">
        <v>616</v>
      </c>
      <c r="C390" s="1" t="s">
        <v>624</v>
      </c>
      <c r="D390" s="1" t="s">
        <v>638</v>
      </c>
      <c r="E390" s="1">
        <v>44</v>
      </c>
      <c r="F390" s="1" t="s">
        <v>639</v>
      </c>
      <c r="G390" s="1">
        <v>3</v>
      </c>
      <c r="H390" s="1">
        <v>17</v>
      </c>
      <c r="I390" s="1">
        <v>6430</v>
      </c>
      <c r="J390" s="1">
        <v>3</v>
      </c>
      <c r="K390" s="1">
        <v>3</v>
      </c>
      <c r="L390" s="1">
        <v>0</v>
      </c>
    </row>
    <row r="391" spans="1:12" x14ac:dyDescent="0.25">
      <c r="A391" s="1" t="s">
        <v>185</v>
      </c>
      <c r="B391" s="1" t="s">
        <v>616</v>
      </c>
      <c r="C391" s="1" t="s">
        <v>635</v>
      </c>
      <c r="D391" s="1" t="s">
        <v>637</v>
      </c>
      <c r="E391" s="1">
        <v>24</v>
      </c>
      <c r="F391" s="1" t="s">
        <v>639</v>
      </c>
      <c r="G391" s="1">
        <v>3</v>
      </c>
      <c r="H391" s="1">
        <v>4</v>
      </c>
      <c r="I391" s="1">
        <v>6430</v>
      </c>
      <c r="J391" s="1">
        <v>4</v>
      </c>
      <c r="K391" s="1">
        <v>3</v>
      </c>
      <c r="L391" s="1">
        <v>18</v>
      </c>
    </row>
    <row r="392" spans="1:12" x14ac:dyDescent="0.25">
      <c r="A392" s="1" t="s">
        <v>422</v>
      </c>
      <c r="B392" s="1" t="s">
        <v>612</v>
      </c>
      <c r="C392" s="1" t="s">
        <v>630</v>
      </c>
      <c r="D392" s="1" t="s">
        <v>638</v>
      </c>
      <c r="E392" s="1">
        <v>25</v>
      </c>
      <c r="F392" s="1" t="s">
        <v>640</v>
      </c>
      <c r="G392" s="1">
        <v>3</v>
      </c>
      <c r="H392" s="1">
        <v>4</v>
      </c>
      <c r="I392" s="1">
        <v>6410</v>
      </c>
      <c r="J392" s="1">
        <v>4</v>
      </c>
      <c r="K392" s="1">
        <v>4</v>
      </c>
      <c r="L392" s="1">
        <v>18</v>
      </c>
    </row>
    <row r="393" spans="1:12" x14ac:dyDescent="0.25">
      <c r="A393" s="1" t="s">
        <v>396</v>
      </c>
      <c r="B393" s="1" t="s">
        <v>617</v>
      </c>
      <c r="C393" s="1" t="s">
        <v>628</v>
      </c>
      <c r="D393" s="1" t="s">
        <v>638</v>
      </c>
      <c r="E393" s="1">
        <v>23</v>
      </c>
      <c r="F393" s="1" t="s">
        <v>639</v>
      </c>
      <c r="G393" s="1">
        <v>3</v>
      </c>
      <c r="H393" s="1">
        <v>4</v>
      </c>
      <c r="I393" s="1">
        <v>6340</v>
      </c>
      <c r="J393" s="1">
        <v>4</v>
      </c>
      <c r="K393" s="1">
        <v>3</v>
      </c>
      <c r="L393" s="1">
        <v>7</v>
      </c>
    </row>
    <row r="394" spans="1:12" x14ac:dyDescent="0.25">
      <c r="A394" s="1" t="s">
        <v>21</v>
      </c>
      <c r="B394" s="1" t="s">
        <v>614</v>
      </c>
      <c r="C394" s="1" t="s">
        <v>626</v>
      </c>
      <c r="D394" s="1" t="s">
        <v>638</v>
      </c>
      <c r="E394" s="1">
        <v>35</v>
      </c>
      <c r="F394" s="1" t="s">
        <v>639</v>
      </c>
      <c r="G394" s="1">
        <v>3</v>
      </c>
      <c r="H394" s="1">
        <v>11</v>
      </c>
      <c r="I394" s="1">
        <v>6290</v>
      </c>
      <c r="J394" s="1">
        <v>4</v>
      </c>
      <c r="K394" s="1">
        <v>3</v>
      </c>
      <c r="L394" s="1">
        <v>13</v>
      </c>
    </row>
    <row r="395" spans="1:12" x14ac:dyDescent="0.25">
      <c r="A395" s="1" t="s">
        <v>355</v>
      </c>
      <c r="B395" s="1" t="s">
        <v>614</v>
      </c>
      <c r="C395" s="1" t="s">
        <v>626</v>
      </c>
      <c r="D395" s="1" t="s">
        <v>638</v>
      </c>
      <c r="E395" s="1">
        <v>35</v>
      </c>
      <c r="F395" s="1" t="s">
        <v>641</v>
      </c>
      <c r="G395" s="1">
        <v>3</v>
      </c>
      <c r="H395" s="1">
        <v>11</v>
      </c>
      <c r="I395" s="1">
        <v>6190</v>
      </c>
      <c r="J395" s="1">
        <v>3</v>
      </c>
      <c r="K395" s="1">
        <v>2</v>
      </c>
      <c r="L395" s="1">
        <v>31</v>
      </c>
    </row>
    <row r="396" spans="1:12" x14ac:dyDescent="0.25">
      <c r="A396" s="1" t="s">
        <v>413</v>
      </c>
      <c r="B396" s="1" t="s">
        <v>615</v>
      </c>
      <c r="C396" s="1" t="s">
        <v>625</v>
      </c>
      <c r="D396" s="1" t="s">
        <v>637</v>
      </c>
      <c r="E396" s="1">
        <v>32</v>
      </c>
      <c r="F396" s="1" t="s">
        <v>640</v>
      </c>
      <c r="G396" s="1">
        <v>3</v>
      </c>
      <c r="H396" s="1">
        <v>3</v>
      </c>
      <c r="I396" s="1">
        <v>6070</v>
      </c>
      <c r="J396" s="1">
        <v>4</v>
      </c>
      <c r="K396" s="1">
        <v>4</v>
      </c>
      <c r="L396" s="1">
        <v>19</v>
      </c>
    </row>
    <row r="397" spans="1:12" x14ac:dyDescent="0.25">
      <c r="A397" s="1" t="s">
        <v>76</v>
      </c>
      <c r="B397" s="1" t="s">
        <v>614</v>
      </c>
      <c r="C397" s="1" t="s">
        <v>626</v>
      </c>
      <c r="D397" s="1" t="s">
        <v>637</v>
      </c>
      <c r="E397" s="1">
        <v>23</v>
      </c>
      <c r="F397" s="1" t="s">
        <v>641</v>
      </c>
      <c r="G397" s="1">
        <v>3</v>
      </c>
      <c r="H397" s="1">
        <v>3</v>
      </c>
      <c r="I397" s="1">
        <v>5890</v>
      </c>
      <c r="J397" s="1">
        <v>5</v>
      </c>
      <c r="K397" s="1">
        <v>1</v>
      </c>
      <c r="L397" s="1">
        <v>16</v>
      </c>
    </row>
    <row r="398" spans="1:12" x14ac:dyDescent="0.25">
      <c r="A398" s="1" t="s">
        <v>378</v>
      </c>
      <c r="B398" s="1" t="s">
        <v>614</v>
      </c>
      <c r="C398" s="1" t="s">
        <v>626</v>
      </c>
      <c r="D398" s="1" t="s">
        <v>638</v>
      </c>
      <c r="E398" s="1">
        <v>32</v>
      </c>
      <c r="F398" s="1" t="s">
        <v>639</v>
      </c>
      <c r="G398" s="1">
        <v>3</v>
      </c>
      <c r="H398" s="1">
        <v>4</v>
      </c>
      <c r="I398" s="1">
        <v>5660</v>
      </c>
      <c r="J398" s="1">
        <v>4</v>
      </c>
      <c r="K398" s="1">
        <v>3</v>
      </c>
      <c r="L398" s="1">
        <v>6</v>
      </c>
    </row>
    <row r="399" spans="1:12" x14ac:dyDescent="0.25">
      <c r="A399" s="1" t="s">
        <v>564</v>
      </c>
      <c r="B399" s="1" t="s">
        <v>613</v>
      </c>
      <c r="C399" s="1" t="s">
        <v>620</v>
      </c>
      <c r="D399" s="1" t="s">
        <v>637</v>
      </c>
      <c r="E399" s="1">
        <v>30</v>
      </c>
      <c r="F399" s="1" t="s">
        <v>639</v>
      </c>
      <c r="G399" s="1">
        <v>3</v>
      </c>
      <c r="H399" s="1">
        <v>6</v>
      </c>
      <c r="I399" s="1">
        <v>5620</v>
      </c>
      <c r="J399" s="1">
        <v>3</v>
      </c>
      <c r="K399" s="1">
        <v>2</v>
      </c>
      <c r="L399" s="1">
        <v>9</v>
      </c>
    </row>
    <row r="400" spans="1:12" x14ac:dyDescent="0.25">
      <c r="A400" s="1" t="s">
        <v>576</v>
      </c>
      <c r="B400" s="1" t="s">
        <v>612</v>
      </c>
      <c r="C400" s="1" t="s">
        <v>619</v>
      </c>
      <c r="D400" s="1" t="s">
        <v>637</v>
      </c>
      <c r="E400" s="1">
        <v>39</v>
      </c>
      <c r="F400" s="1" t="s">
        <v>639</v>
      </c>
      <c r="G400" s="1">
        <v>3</v>
      </c>
      <c r="H400" s="1">
        <v>14</v>
      </c>
      <c r="I400" s="1">
        <v>5450</v>
      </c>
      <c r="J400" s="1">
        <v>3</v>
      </c>
      <c r="K400" s="1">
        <v>4</v>
      </c>
      <c r="L400" s="1">
        <v>0</v>
      </c>
    </row>
    <row r="401" spans="1:12" x14ac:dyDescent="0.25">
      <c r="A401" s="1" t="s">
        <v>403</v>
      </c>
      <c r="B401" s="1" t="s">
        <v>612</v>
      </c>
      <c r="C401" s="1" t="s">
        <v>618</v>
      </c>
      <c r="D401" s="1" t="s">
        <v>637</v>
      </c>
      <c r="E401" s="1">
        <v>28</v>
      </c>
      <c r="F401" s="1" t="s">
        <v>639</v>
      </c>
      <c r="G401" s="1">
        <v>3</v>
      </c>
      <c r="H401" s="1">
        <v>3</v>
      </c>
      <c r="I401" s="1">
        <v>5170</v>
      </c>
      <c r="J401" s="1">
        <v>3</v>
      </c>
      <c r="K401" s="1">
        <v>3</v>
      </c>
      <c r="L401" s="1">
        <v>6</v>
      </c>
    </row>
    <row r="402" spans="1:12" x14ac:dyDescent="0.25">
      <c r="A402" s="1" t="s">
        <v>460</v>
      </c>
      <c r="B402" s="1" t="s">
        <v>612</v>
      </c>
      <c r="C402" s="1" t="s">
        <v>618</v>
      </c>
      <c r="D402" s="1" t="s">
        <v>637</v>
      </c>
      <c r="E402" s="1">
        <v>32</v>
      </c>
      <c r="F402" s="1" t="s">
        <v>640</v>
      </c>
      <c r="G402" s="1">
        <v>3</v>
      </c>
      <c r="H402" s="1">
        <v>7</v>
      </c>
      <c r="I402" s="1">
        <v>5150</v>
      </c>
      <c r="J402" s="1">
        <v>3</v>
      </c>
      <c r="K402" s="1">
        <v>3</v>
      </c>
      <c r="L402" s="1">
        <v>18</v>
      </c>
    </row>
    <row r="403" spans="1:12" x14ac:dyDescent="0.25">
      <c r="A403" s="1" t="s">
        <v>326</v>
      </c>
      <c r="B403" s="1" t="s">
        <v>616</v>
      </c>
      <c r="C403" s="1" t="s">
        <v>624</v>
      </c>
      <c r="D403" s="1" t="s">
        <v>638</v>
      </c>
      <c r="E403" s="1">
        <v>25</v>
      </c>
      <c r="F403" s="1" t="s">
        <v>639</v>
      </c>
      <c r="G403" s="1">
        <v>3</v>
      </c>
      <c r="H403" s="1">
        <v>4</v>
      </c>
      <c r="I403" s="1">
        <v>5080</v>
      </c>
      <c r="J403" s="1">
        <v>4</v>
      </c>
      <c r="K403" s="1">
        <v>2</v>
      </c>
      <c r="L403" s="1">
        <v>11</v>
      </c>
    </row>
    <row r="404" spans="1:12" x14ac:dyDescent="0.25">
      <c r="A404" s="1" t="s">
        <v>321</v>
      </c>
      <c r="B404" s="1" t="s">
        <v>617</v>
      </c>
      <c r="C404" s="1" t="s">
        <v>627</v>
      </c>
      <c r="D404" s="1" t="s">
        <v>637</v>
      </c>
      <c r="E404" s="1">
        <v>23</v>
      </c>
      <c r="F404" s="1" t="s">
        <v>642</v>
      </c>
      <c r="G404" s="1">
        <v>3</v>
      </c>
      <c r="H404" s="1">
        <v>3</v>
      </c>
      <c r="I404" s="1">
        <v>5050</v>
      </c>
      <c r="J404" s="1">
        <v>5</v>
      </c>
      <c r="K404" s="1">
        <v>3</v>
      </c>
      <c r="L404" s="1">
        <v>13</v>
      </c>
    </row>
    <row r="405" spans="1:12" x14ac:dyDescent="0.25">
      <c r="A405" s="1" t="s">
        <v>426</v>
      </c>
      <c r="B405" s="1" t="s">
        <v>617</v>
      </c>
      <c r="C405" s="1" t="s">
        <v>634</v>
      </c>
      <c r="D405" s="1" t="s">
        <v>637</v>
      </c>
      <c r="E405" s="1">
        <v>27</v>
      </c>
      <c r="F405" s="1" t="s">
        <v>639</v>
      </c>
      <c r="G405" s="1">
        <v>3</v>
      </c>
      <c r="H405" s="1">
        <v>3</v>
      </c>
      <c r="I405" s="1">
        <v>5050</v>
      </c>
      <c r="J405" s="1">
        <v>3</v>
      </c>
      <c r="K405" s="1">
        <v>5</v>
      </c>
      <c r="L405" s="1">
        <v>23</v>
      </c>
    </row>
    <row r="406" spans="1:12" x14ac:dyDescent="0.25">
      <c r="A406" s="1" t="s">
        <v>99</v>
      </c>
      <c r="B406" s="1" t="s">
        <v>612</v>
      </c>
      <c r="C406" s="1" t="s">
        <v>619</v>
      </c>
      <c r="D406" s="1" t="s">
        <v>638</v>
      </c>
      <c r="E406" s="1">
        <v>22</v>
      </c>
      <c r="F406" s="1" t="s">
        <v>639</v>
      </c>
      <c r="G406" s="1">
        <v>3</v>
      </c>
      <c r="H406" s="1">
        <v>4</v>
      </c>
      <c r="I406" s="1">
        <v>4980</v>
      </c>
      <c r="J406" s="1">
        <v>1</v>
      </c>
      <c r="K406" s="1">
        <v>4</v>
      </c>
      <c r="L406" s="1">
        <v>18</v>
      </c>
    </row>
    <row r="407" spans="1:12" x14ac:dyDescent="0.25">
      <c r="A407" s="1" t="s">
        <v>267</v>
      </c>
      <c r="B407" s="1" t="s">
        <v>613</v>
      </c>
      <c r="C407" s="1" t="s">
        <v>620</v>
      </c>
      <c r="D407" s="1" t="s">
        <v>638</v>
      </c>
      <c r="E407" s="1">
        <v>30</v>
      </c>
      <c r="F407" s="1" t="s">
        <v>639</v>
      </c>
      <c r="G407" s="1">
        <v>3</v>
      </c>
      <c r="H407" s="1">
        <v>10</v>
      </c>
      <c r="I407" s="1">
        <v>4510</v>
      </c>
      <c r="J407" s="1">
        <v>3</v>
      </c>
      <c r="K407" s="1">
        <v>3</v>
      </c>
      <c r="L407" s="1">
        <v>23</v>
      </c>
    </row>
    <row r="408" spans="1:12" x14ac:dyDescent="0.25">
      <c r="A408" s="1" t="s">
        <v>397</v>
      </c>
      <c r="B408" s="1" t="s">
        <v>612</v>
      </c>
      <c r="C408" s="1" t="s">
        <v>619</v>
      </c>
      <c r="D408" s="1" t="s">
        <v>637</v>
      </c>
      <c r="E408" s="1">
        <v>31</v>
      </c>
      <c r="F408" s="1" t="s">
        <v>639</v>
      </c>
      <c r="G408" s="1">
        <v>3</v>
      </c>
      <c r="H408" s="1">
        <v>7</v>
      </c>
      <c r="I408" s="1">
        <v>4370</v>
      </c>
      <c r="J408" s="1">
        <v>3</v>
      </c>
      <c r="K408" s="1">
        <v>2</v>
      </c>
      <c r="L408" s="1">
        <v>0</v>
      </c>
    </row>
    <row r="409" spans="1:12" x14ac:dyDescent="0.25">
      <c r="A409" s="1" t="s">
        <v>117</v>
      </c>
      <c r="B409" s="1" t="s">
        <v>616</v>
      </c>
      <c r="C409" s="1" t="s">
        <v>624</v>
      </c>
      <c r="D409" s="1" t="s">
        <v>637</v>
      </c>
      <c r="E409" s="1">
        <v>26</v>
      </c>
      <c r="F409" s="1" t="s">
        <v>639</v>
      </c>
      <c r="G409" s="1">
        <v>3</v>
      </c>
      <c r="H409" s="1">
        <v>3</v>
      </c>
      <c r="I409" s="1">
        <v>4340</v>
      </c>
      <c r="J409" s="1">
        <v>5</v>
      </c>
      <c r="K409" s="1">
        <v>3</v>
      </c>
      <c r="L409" s="1">
        <v>13</v>
      </c>
    </row>
    <row r="410" spans="1:12" x14ac:dyDescent="0.25">
      <c r="A410" s="1" t="s">
        <v>175</v>
      </c>
      <c r="B410" s="1" t="s">
        <v>614</v>
      </c>
      <c r="C410" s="1" t="s">
        <v>621</v>
      </c>
      <c r="D410" s="1" t="s">
        <v>637</v>
      </c>
      <c r="E410" s="1">
        <v>58</v>
      </c>
      <c r="F410" s="1" t="s">
        <v>640</v>
      </c>
      <c r="G410" s="1">
        <v>2</v>
      </c>
      <c r="H410" s="1">
        <v>39</v>
      </c>
      <c r="I410" s="1">
        <v>11060</v>
      </c>
      <c r="J410" s="1">
        <v>2</v>
      </c>
      <c r="K410" s="1">
        <v>3</v>
      </c>
      <c r="L410" s="1">
        <v>12</v>
      </c>
    </row>
    <row r="411" spans="1:12" x14ac:dyDescent="0.25">
      <c r="A411" s="1" t="s">
        <v>55</v>
      </c>
      <c r="B411" s="1" t="s">
        <v>616</v>
      </c>
      <c r="C411" s="1" t="s">
        <v>635</v>
      </c>
      <c r="D411" s="1" t="s">
        <v>638</v>
      </c>
      <c r="E411" s="1">
        <v>59</v>
      </c>
      <c r="F411" s="1" t="s">
        <v>639</v>
      </c>
      <c r="G411" s="1">
        <v>2</v>
      </c>
      <c r="H411" s="1">
        <v>40</v>
      </c>
      <c r="I411" s="1">
        <v>10800</v>
      </c>
      <c r="J411" s="1">
        <v>4</v>
      </c>
      <c r="K411" s="1">
        <v>4</v>
      </c>
      <c r="L411" s="1">
        <v>0</v>
      </c>
    </row>
    <row r="412" spans="1:12" x14ac:dyDescent="0.25">
      <c r="A412" s="1" t="s">
        <v>462</v>
      </c>
      <c r="B412" s="1" t="s">
        <v>616</v>
      </c>
      <c r="C412" s="1" t="s">
        <v>635</v>
      </c>
      <c r="D412" s="1" t="s">
        <v>638</v>
      </c>
      <c r="E412" s="1">
        <v>59</v>
      </c>
      <c r="F412" s="1" t="s">
        <v>639</v>
      </c>
      <c r="G412" s="1">
        <v>2</v>
      </c>
      <c r="H412" s="1">
        <v>36</v>
      </c>
      <c r="I412" s="1">
        <v>10590</v>
      </c>
      <c r="J412" s="1">
        <v>4</v>
      </c>
      <c r="K412" s="1">
        <v>3</v>
      </c>
      <c r="L412" s="1">
        <v>3</v>
      </c>
    </row>
    <row r="413" spans="1:12" x14ac:dyDescent="0.25">
      <c r="A413" s="1" t="s">
        <v>106</v>
      </c>
      <c r="B413" s="1" t="s">
        <v>614</v>
      </c>
      <c r="C413" s="1" t="s">
        <v>621</v>
      </c>
      <c r="D413" s="1" t="s">
        <v>637</v>
      </c>
      <c r="E413" s="1">
        <v>56</v>
      </c>
      <c r="F413" s="1" t="s">
        <v>640</v>
      </c>
      <c r="G413" s="1">
        <v>2</v>
      </c>
      <c r="H413" s="1">
        <v>33</v>
      </c>
      <c r="I413" s="1">
        <v>9700</v>
      </c>
      <c r="J413" s="1">
        <v>3</v>
      </c>
      <c r="K413" s="1">
        <v>3</v>
      </c>
      <c r="L413" s="1">
        <v>3</v>
      </c>
    </row>
    <row r="414" spans="1:12" x14ac:dyDescent="0.25">
      <c r="A414" s="1" t="s">
        <v>62</v>
      </c>
      <c r="B414" s="1" t="s">
        <v>614</v>
      </c>
      <c r="C414" s="1" t="s">
        <v>633</v>
      </c>
      <c r="D414" s="1" t="s">
        <v>638</v>
      </c>
      <c r="E414" s="1">
        <v>53</v>
      </c>
      <c r="F414" s="1" t="s">
        <v>642</v>
      </c>
      <c r="G414" s="1">
        <v>2</v>
      </c>
      <c r="H414" s="1">
        <v>30</v>
      </c>
      <c r="I414" s="1">
        <v>9350</v>
      </c>
      <c r="J414" s="1">
        <v>4</v>
      </c>
      <c r="K414" s="1">
        <v>5</v>
      </c>
      <c r="L414" s="1">
        <v>23</v>
      </c>
    </row>
    <row r="415" spans="1:12" x14ac:dyDescent="0.25">
      <c r="A415" s="1" t="s">
        <v>71</v>
      </c>
      <c r="B415" s="1" t="s">
        <v>614</v>
      </c>
      <c r="C415" s="1" t="s">
        <v>621</v>
      </c>
      <c r="D415" s="1" t="s">
        <v>638</v>
      </c>
      <c r="E415" s="1">
        <v>56</v>
      </c>
      <c r="F415" s="1" t="s">
        <v>639</v>
      </c>
      <c r="G415" s="1">
        <v>2</v>
      </c>
      <c r="H415" s="1">
        <v>34</v>
      </c>
      <c r="I415" s="1">
        <v>9350</v>
      </c>
      <c r="J415" s="1">
        <v>3</v>
      </c>
      <c r="K415" s="1">
        <v>4</v>
      </c>
      <c r="L415" s="1">
        <v>1</v>
      </c>
    </row>
    <row r="416" spans="1:12" x14ac:dyDescent="0.25">
      <c r="A416" s="1" t="s">
        <v>97</v>
      </c>
      <c r="B416" s="1" t="s">
        <v>616</v>
      </c>
      <c r="C416" s="1" t="s">
        <v>636</v>
      </c>
      <c r="D416" s="1" t="s">
        <v>638</v>
      </c>
      <c r="E416" s="1">
        <v>53</v>
      </c>
      <c r="F416" s="1" t="s">
        <v>639</v>
      </c>
      <c r="G416" s="1">
        <v>2</v>
      </c>
      <c r="H416" s="1">
        <v>25</v>
      </c>
      <c r="I416" s="1">
        <v>8790</v>
      </c>
      <c r="J416" s="1">
        <v>4</v>
      </c>
      <c r="K416" s="1">
        <v>3</v>
      </c>
      <c r="L416" s="1">
        <v>13</v>
      </c>
    </row>
    <row r="417" spans="1:12" x14ac:dyDescent="0.25">
      <c r="A417" s="1" t="s">
        <v>64</v>
      </c>
      <c r="B417" s="1" t="s">
        <v>615</v>
      </c>
      <c r="C417" s="1" t="s">
        <v>622</v>
      </c>
      <c r="D417" s="1" t="s">
        <v>638</v>
      </c>
      <c r="E417" s="1">
        <v>54</v>
      </c>
      <c r="F417" s="1" t="s">
        <v>639</v>
      </c>
      <c r="G417" s="1">
        <v>2</v>
      </c>
      <c r="H417" s="1">
        <v>32</v>
      </c>
      <c r="I417" s="1">
        <v>8780</v>
      </c>
      <c r="J417" s="1">
        <v>3</v>
      </c>
      <c r="K417" s="1">
        <v>4</v>
      </c>
      <c r="L417" s="1">
        <v>18</v>
      </c>
    </row>
    <row r="418" spans="1:12" x14ac:dyDescent="0.25">
      <c r="A418" s="1" t="s">
        <v>548</v>
      </c>
      <c r="B418" s="1" t="s">
        <v>617</v>
      </c>
      <c r="C418" s="1" t="s">
        <v>627</v>
      </c>
      <c r="D418" s="1" t="s">
        <v>638</v>
      </c>
      <c r="E418" s="1">
        <v>57</v>
      </c>
      <c r="F418" s="1" t="s">
        <v>639</v>
      </c>
      <c r="G418" s="1">
        <v>2</v>
      </c>
      <c r="H418" s="1">
        <v>33</v>
      </c>
      <c r="I418" s="1">
        <v>8780</v>
      </c>
      <c r="J418" s="1">
        <v>4</v>
      </c>
      <c r="K418" s="1">
        <v>4</v>
      </c>
      <c r="L418" s="1">
        <v>10</v>
      </c>
    </row>
    <row r="419" spans="1:12" x14ac:dyDescent="0.25">
      <c r="A419" s="1" t="s">
        <v>217</v>
      </c>
      <c r="B419" s="1" t="s">
        <v>612</v>
      </c>
      <c r="C419" s="1" t="s">
        <v>630</v>
      </c>
      <c r="D419" s="1" t="s">
        <v>638</v>
      </c>
      <c r="E419" s="1">
        <v>45</v>
      </c>
      <c r="F419" s="1" t="s">
        <v>639</v>
      </c>
      <c r="G419" s="1">
        <v>2</v>
      </c>
      <c r="H419" s="1">
        <v>24</v>
      </c>
      <c r="I419" s="1">
        <v>8260</v>
      </c>
      <c r="J419" s="1">
        <v>2</v>
      </c>
      <c r="K419" s="1">
        <v>3</v>
      </c>
      <c r="L419" s="1">
        <v>6</v>
      </c>
    </row>
    <row r="420" spans="1:12" x14ac:dyDescent="0.25">
      <c r="A420" s="1" t="s">
        <v>60</v>
      </c>
      <c r="B420" s="1" t="s">
        <v>616</v>
      </c>
      <c r="C420" s="1" t="s">
        <v>635</v>
      </c>
      <c r="D420" s="1" t="s">
        <v>638</v>
      </c>
      <c r="E420" s="1">
        <v>55</v>
      </c>
      <c r="F420" s="1" t="s">
        <v>640</v>
      </c>
      <c r="G420" s="1">
        <v>2</v>
      </c>
      <c r="H420" s="1">
        <v>29</v>
      </c>
      <c r="I420" s="1">
        <v>8210</v>
      </c>
      <c r="J420" s="1">
        <v>5</v>
      </c>
      <c r="K420" s="1">
        <v>4</v>
      </c>
      <c r="L420" s="1">
        <v>23</v>
      </c>
    </row>
    <row r="421" spans="1:12" x14ac:dyDescent="0.25">
      <c r="A421" s="1" t="s">
        <v>221</v>
      </c>
      <c r="B421" s="1" t="s">
        <v>617</v>
      </c>
      <c r="C421" s="1" t="s">
        <v>628</v>
      </c>
      <c r="D421" s="1" t="s">
        <v>638</v>
      </c>
      <c r="E421" s="1">
        <v>47</v>
      </c>
      <c r="F421" s="1" t="s">
        <v>639</v>
      </c>
      <c r="G421" s="1">
        <v>2</v>
      </c>
      <c r="H421" s="1">
        <v>21</v>
      </c>
      <c r="I421" s="1">
        <v>8180</v>
      </c>
      <c r="J421" s="1">
        <v>2</v>
      </c>
      <c r="K421" s="1">
        <v>4</v>
      </c>
      <c r="L421" s="1">
        <v>12</v>
      </c>
    </row>
    <row r="422" spans="1:12" x14ac:dyDescent="0.25">
      <c r="A422" s="1" t="s">
        <v>22</v>
      </c>
      <c r="B422" s="1" t="s">
        <v>612</v>
      </c>
      <c r="C422" s="1" t="s">
        <v>618</v>
      </c>
      <c r="D422" s="1" t="s">
        <v>637</v>
      </c>
      <c r="E422" s="1">
        <v>52</v>
      </c>
      <c r="F422" s="1" t="s">
        <v>639</v>
      </c>
      <c r="G422" s="1">
        <v>2</v>
      </c>
      <c r="H422" s="1">
        <v>26</v>
      </c>
      <c r="I422" s="1">
        <v>8000</v>
      </c>
      <c r="J422" s="1">
        <v>4</v>
      </c>
      <c r="K422" s="1">
        <v>2</v>
      </c>
      <c r="L422" s="1">
        <v>12</v>
      </c>
    </row>
    <row r="423" spans="1:12" x14ac:dyDescent="0.25">
      <c r="A423" s="1" t="s">
        <v>549</v>
      </c>
      <c r="B423" s="1" t="s">
        <v>613</v>
      </c>
      <c r="C423" s="1" t="s">
        <v>631</v>
      </c>
      <c r="D423" s="1" t="s">
        <v>638</v>
      </c>
      <c r="E423" s="1">
        <v>56</v>
      </c>
      <c r="F423" s="1" t="s">
        <v>639</v>
      </c>
      <c r="G423" s="1">
        <v>2</v>
      </c>
      <c r="H423" s="1">
        <v>27</v>
      </c>
      <c r="I423" s="1">
        <v>7740</v>
      </c>
      <c r="J423" s="1">
        <v>4</v>
      </c>
      <c r="K423" s="1">
        <v>3</v>
      </c>
      <c r="L423" s="1">
        <v>6</v>
      </c>
    </row>
    <row r="424" spans="1:12" x14ac:dyDescent="0.25">
      <c r="A424" s="1" t="s">
        <v>89</v>
      </c>
      <c r="B424" s="1" t="s">
        <v>615</v>
      </c>
      <c r="C424" s="1" t="s">
        <v>625</v>
      </c>
      <c r="D424" s="1" t="s">
        <v>637</v>
      </c>
      <c r="E424" s="1">
        <v>48</v>
      </c>
      <c r="F424" s="1" t="s">
        <v>640</v>
      </c>
      <c r="G424" s="1">
        <v>2</v>
      </c>
      <c r="H424" s="1">
        <v>23</v>
      </c>
      <c r="I424" s="1">
        <v>7720</v>
      </c>
      <c r="J424" s="1">
        <v>5</v>
      </c>
      <c r="K424" s="1">
        <v>4</v>
      </c>
      <c r="L424" s="1">
        <v>9</v>
      </c>
    </row>
    <row r="425" spans="1:12" x14ac:dyDescent="0.25">
      <c r="A425" s="1" t="s">
        <v>425</v>
      </c>
      <c r="B425" s="1" t="s">
        <v>615</v>
      </c>
      <c r="C425" s="1" t="s">
        <v>629</v>
      </c>
      <c r="D425" s="1" t="s">
        <v>638</v>
      </c>
      <c r="E425" s="1">
        <v>31</v>
      </c>
      <c r="F425" s="1" t="s">
        <v>639</v>
      </c>
      <c r="G425" s="1">
        <v>2</v>
      </c>
      <c r="H425" s="1">
        <v>5</v>
      </c>
      <c r="I425" s="1">
        <v>7720</v>
      </c>
      <c r="J425" s="1">
        <v>4</v>
      </c>
      <c r="K425" s="1">
        <v>2</v>
      </c>
      <c r="L425" s="1">
        <v>0</v>
      </c>
    </row>
    <row r="426" spans="1:12" x14ac:dyDescent="0.25">
      <c r="A426" s="1" t="s">
        <v>260</v>
      </c>
      <c r="B426" s="1" t="s">
        <v>615</v>
      </c>
      <c r="C426" s="1" t="s">
        <v>622</v>
      </c>
      <c r="D426" s="1" t="s">
        <v>637</v>
      </c>
      <c r="E426" s="1">
        <v>49</v>
      </c>
      <c r="F426" s="1" t="s">
        <v>640</v>
      </c>
      <c r="G426" s="1">
        <v>2</v>
      </c>
      <c r="H426" s="1">
        <v>24</v>
      </c>
      <c r="I426" s="1">
        <v>7620</v>
      </c>
      <c r="J426" s="1">
        <v>3</v>
      </c>
      <c r="K426" s="1">
        <v>4</v>
      </c>
      <c r="L426" s="1">
        <v>5</v>
      </c>
    </row>
    <row r="427" spans="1:12" x14ac:dyDescent="0.25">
      <c r="A427" s="1" t="s">
        <v>226</v>
      </c>
      <c r="B427" s="1" t="s">
        <v>617</v>
      </c>
      <c r="C427" s="1" t="s">
        <v>634</v>
      </c>
      <c r="D427" s="1" t="s">
        <v>638</v>
      </c>
      <c r="E427" s="1">
        <v>45</v>
      </c>
      <c r="F427" s="1" t="s">
        <v>640</v>
      </c>
      <c r="G427" s="1">
        <v>2</v>
      </c>
      <c r="H427" s="1">
        <v>22</v>
      </c>
      <c r="I427" s="1">
        <v>7530</v>
      </c>
      <c r="J427" s="1">
        <v>5</v>
      </c>
      <c r="K427" s="1">
        <v>3</v>
      </c>
      <c r="L427" s="1">
        <v>6</v>
      </c>
    </row>
    <row r="428" spans="1:12" x14ac:dyDescent="0.25">
      <c r="A428" s="1" t="s">
        <v>448</v>
      </c>
      <c r="B428" s="1" t="s">
        <v>617</v>
      </c>
      <c r="C428" s="1" t="s">
        <v>628</v>
      </c>
      <c r="D428" s="1" t="s">
        <v>638</v>
      </c>
      <c r="E428" s="1">
        <v>42</v>
      </c>
      <c r="F428" s="1" t="s">
        <v>639</v>
      </c>
      <c r="G428" s="1">
        <v>2</v>
      </c>
      <c r="H428" s="1">
        <v>19</v>
      </c>
      <c r="I428" s="1">
        <v>7390</v>
      </c>
      <c r="J428" s="1">
        <v>3</v>
      </c>
      <c r="K428" s="1">
        <v>4</v>
      </c>
      <c r="L428" s="1">
        <v>21</v>
      </c>
    </row>
    <row r="429" spans="1:12" x14ac:dyDescent="0.25">
      <c r="A429" s="1" t="s">
        <v>546</v>
      </c>
      <c r="B429" s="1" t="s">
        <v>617</v>
      </c>
      <c r="C429" s="1" t="s">
        <v>628</v>
      </c>
      <c r="D429" s="1" t="s">
        <v>637</v>
      </c>
      <c r="E429" s="1">
        <v>42</v>
      </c>
      <c r="F429" s="1" t="s">
        <v>642</v>
      </c>
      <c r="G429" s="1">
        <v>2</v>
      </c>
      <c r="H429" s="1">
        <v>16</v>
      </c>
      <c r="I429" s="1">
        <v>7060</v>
      </c>
      <c r="J429" s="1">
        <v>4</v>
      </c>
      <c r="K429" s="1">
        <v>3</v>
      </c>
      <c r="L429" s="1">
        <v>2</v>
      </c>
    </row>
    <row r="430" spans="1:12" x14ac:dyDescent="0.25">
      <c r="A430" s="1" t="s">
        <v>304</v>
      </c>
      <c r="B430" s="1" t="s">
        <v>613</v>
      </c>
      <c r="C430" s="1" t="s">
        <v>620</v>
      </c>
      <c r="D430" s="1" t="s">
        <v>638</v>
      </c>
      <c r="E430" s="1">
        <v>40</v>
      </c>
      <c r="F430" s="1" t="s">
        <v>642</v>
      </c>
      <c r="G430" s="1">
        <v>2</v>
      </c>
      <c r="H430" s="1">
        <v>19</v>
      </c>
      <c r="I430" s="1">
        <v>7040</v>
      </c>
      <c r="J430" s="1">
        <v>3</v>
      </c>
      <c r="K430" s="1">
        <v>3</v>
      </c>
      <c r="L430" s="1">
        <v>18</v>
      </c>
    </row>
    <row r="431" spans="1:12" x14ac:dyDescent="0.25">
      <c r="A431" s="1" t="s">
        <v>239</v>
      </c>
      <c r="B431" s="1" t="s">
        <v>614</v>
      </c>
      <c r="C431" s="1" t="s">
        <v>633</v>
      </c>
      <c r="D431" s="1" t="s">
        <v>638</v>
      </c>
      <c r="E431" s="1">
        <v>37</v>
      </c>
      <c r="F431" s="1" t="s">
        <v>640</v>
      </c>
      <c r="G431" s="1">
        <v>2</v>
      </c>
      <c r="H431" s="1">
        <v>12</v>
      </c>
      <c r="I431" s="1">
        <v>6980</v>
      </c>
      <c r="J431" s="1">
        <v>4</v>
      </c>
      <c r="K431" s="1">
        <v>1</v>
      </c>
      <c r="L431" s="1">
        <v>10</v>
      </c>
    </row>
    <row r="432" spans="1:12" x14ac:dyDescent="0.25">
      <c r="A432" s="1" t="s">
        <v>408</v>
      </c>
      <c r="B432" s="1" t="s">
        <v>615</v>
      </c>
      <c r="C432" s="1" t="s">
        <v>625</v>
      </c>
      <c r="D432" s="1" t="s">
        <v>638</v>
      </c>
      <c r="E432" s="1">
        <v>29</v>
      </c>
      <c r="F432" s="1" t="s">
        <v>639</v>
      </c>
      <c r="G432" s="1">
        <v>2</v>
      </c>
      <c r="H432" s="1">
        <v>4</v>
      </c>
      <c r="I432" s="1">
        <v>6740</v>
      </c>
      <c r="J432" s="1">
        <v>3</v>
      </c>
      <c r="K432" s="1">
        <v>4</v>
      </c>
      <c r="L432" s="1">
        <v>5</v>
      </c>
    </row>
    <row r="433" spans="1:12" x14ac:dyDescent="0.25">
      <c r="A433" s="1" t="s">
        <v>343</v>
      </c>
      <c r="B433" s="1" t="s">
        <v>614</v>
      </c>
      <c r="C433" s="1" t="s">
        <v>621</v>
      </c>
      <c r="D433" s="1" t="s">
        <v>638</v>
      </c>
      <c r="E433" s="1">
        <v>22</v>
      </c>
      <c r="F433" s="1" t="s">
        <v>640</v>
      </c>
      <c r="G433" s="1">
        <v>2</v>
      </c>
      <c r="H433" s="1">
        <v>2</v>
      </c>
      <c r="I433" s="1">
        <v>6650</v>
      </c>
      <c r="J433" s="1">
        <v>3</v>
      </c>
      <c r="K433" s="1">
        <v>4</v>
      </c>
      <c r="L433" s="1">
        <v>14</v>
      </c>
    </row>
    <row r="434" spans="1:12" x14ac:dyDescent="0.25">
      <c r="A434" s="1" t="s">
        <v>523</v>
      </c>
      <c r="B434" s="1" t="s">
        <v>613</v>
      </c>
      <c r="C434" s="1" t="s">
        <v>623</v>
      </c>
      <c r="D434" s="1" t="s">
        <v>638</v>
      </c>
      <c r="E434" s="1">
        <v>25</v>
      </c>
      <c r="F434" s="1" t="s">
        <v>639</v>
      </c>
      <c r="G434" s="1">
        <v>2</v>
      </c>
      <c r="H434" s="1">
        <v>6</v>
      </c>
      <c r="I434" s="1">
        <v>6370</v>
      </c>
      <c r="J434" s="1">
        <v>3</v>
      </c>
      <c r="K434" s="1">
        <v>3</v>
      </c>
      <c r="L434" s="1">
        <v>7</v>
      </c>
    </row>
    <row r="435" spans="1:12" x14ac:dyDescent="0.25">
      <c r="A435" s="1" t="s">
        <v>233</v>
      </c>
      <c r="B435" s="1" t="s">
        <v>614</v>
      </c>
      <c r="C435" s="1" t="s">
        <v>633</v>
      </c>
      <c r="D435" s="1" t="s">
        <v>637</v>
      </c>
      <c r="E435" s="1">
        <v>29</v>
      </c>
      <c r="F435" s="1" t="s">
        <v>640</v>
      </c>
      <c r="G435" s="1">
        <v>2</v>
      </c>
      <c r="H435" s="1">
        <v>2</v>
      </c>
      <c r="I435" s="1">
        <v>6190</v>
      </c>
      <c r="J435" s="1">
        <v>3</v>
      </c>
      <c r="K435" s="1">
        <v>3</v>
      </c>
      <c r="L435" s="1">
        <v>17</v>
      </c>
    </row>
    <row r="436" spans="1:12" x14ac:dyDescent="0.25">
      <c r="A436" s="1" t="s">
        <v>601</v>
      </c>
      <c r="B436" s="1" t="s">
        <v>616</v>
      </c>
      <c r="C436" s="1" t="s">
        <v>636</v>
      </c>
      <c r="D436" s="1" t="s">
        <v>637</v>
      </c>
      <c r="E436" s="1">
        <v>32</v>
      </c>
      <c r="F436" s="1" t="s">
        <v>639</v>
      </c>
      <c r="G436" s="1">
        <v>2</v>
      </c>
      <c r="H436" s="1">
        <v>2</v>
      </c>
      <c r="I436" s="1">
        <v>6140</v>
      </c>
      <c r="J436" s="1">
        <v>3</v>
      </c>
      <c r="K436" s="1">
        <v>1</v>
      </c>
      <c r="L436" s="1">
        <v>20</v>
      </c>
    </row>
    <row r="437" spans="1:12" x14ac:dyDescent="0.25">
      <c r="A437" s="1" t="s">
        <v>563</v>
      </c>
      <c r="B437" s="1" t="s">
        <v>617</v>
      </c>
      <c r="C437" s="1" t="s">
        <v>627</v>
      </c>
      <c r="D437" s="1" t="s">
        <v>638</v>
      </c>
      <c r="E437" s="1">
        <v>27</v>
      </c>
      <c r="F437" s="1" t="s">
        <v>639</v>
      </c>
      <c r="G437" s="1">
        <v>2</v>
      </c>
      <c r="H437" s="1">
        <v>4</v>
      </c>
      <c r="I437" s="1">
        <v>6050</v>
      </c>
      <c r="J437" s="1">
        <v>4</v>
      </c>
      <c r="K437" s="1">
        <v>3</v>
      </c>
      <c r="L437" s="1">
        <v>12</v>
      </c>
    </row>
    <row r="438" spans="1:12" x14ac:dyDescent="0.25">
      <c r="A438" s="1" t="s">
        <v>281</v>
      </c>
      <c r="B438" s="1" t="s">
        <v>614</v>
      </c>
      <c r="C438" s="1" t="s">
        <v>632</v>
      </c>
      <c r="D438" s="1" t="s">
        <v>638</v>
      </c>
      <c r="E438" s="1">
        <v>31</v>
      </c>
      <c r="F438" s="1" t="s">
        <v>640</v>
      </c>
      <c r="G438" s="1">
        <v>2</v>
      </c>
      <c r="H438" s="1">
        <v>2</v>
      </c>
      <c r="I438" s="1">
        <v>5660</v>
      </c>
      <c r="J438" s="1">
        <v>3</v>
      </c>
      <c r="K438" s="1">
        <v>2</v>
      </c>
      <c r="L438" s="1">
        <v>3</v>
      </c>
    </row>
    <row r="439" spans="1:12" x14ac:dyDescent="0.25">
      <c r="A439" s="1" t="s">
        <v>570</v>
      </c>
      <c r="B439" s="1" t="s">
        <v>617</v>
      </c>
      <c r="C439" s="1" t="s">
        <v>627</v>
      </c>
      <c r="D439" s="1" t="s">
        <v>638</v>
      </c>
      <c r="E439" s="1">
        <v>35</v>
      </c>
      <c r="F439" s="1" t="s">
        <v>640</v>
      </c>
      <c r="G439" s="1">
        <v>2</v>
      </c>
      <c r="H439" s="1">
        <v>6</v>
      </c>
      <c r="I439" s="1">
        <v>5480</v>
      </c>
      <c r="J439" s="1">
        <v>5</v>
      </c>
      <c r="K439" s="1">
        <v>2</v>
      </c>
      <c r="L439" s="1">
        <v>10</v>
      </c>
    </row>
    <row r="440" spans="1:12" x14ac:dyDescent="0.25">
      <c r="A440" s="1" t="s">
        <v>452</v>
      </c>
      <c r="B440" s="1" t="s">
        <v>617</v>
      </c>
      <c r="C440" s="1" t="s">
        <v>634</v>
      </c>
      <c r="D440" s="1" t="s">
        <v>637</v>
      </c>
      <c r="E440" s="1">
        <v>27</v>
      </c>
      <c r="F440" s="1" t="s">
        <v>639</v>
      </c>
      <c r="G440" s="1">
        <v>2</v>
      </c>
      <c r="H440" s="1">
        <v>7</v>
      </c>
      <c r="I440" s="1">
        <v>5460</v>
      </c>
      <c r="J440" s="1">
        <v>4</v>
      </c>
      <c r="K440" s="1">
        <v>4</v>
      </c>
      <c r="L440" s="1">
        <v>22</v>
      </c>
    </row>
    <row r="441" spans="1:12" x14ac:dyDescent="0.25">
      <c r="A441" s="1" t="s">
        <v>100</v>
      </c>
      <c r="B441" s="1" t="s">
        <v>613</v>
      </c>
      <c r="C441" s="1" t="s">
        <v>620</v>
      </c>
      <c r="D441" s="1" t="s">
        <v>637</v>
      </c>
      <c r="E441" s="1">
        <v>29</v>
      </c>
      <c r="F441" s="1" t="s">
        <v>640</v>
      </c>
      <c r="G441" s="1">
        <v>2</v>
      </c>
      <c r="H441" s="1">
        <v>10</v>
      </c>
      <c r="I441" s="1">
        <v>5410</v>
      </c>
      <c r="J441" s="1">
        <v>4</v>
      </c>
      <c r="K441" s="1">
        <v>3</v>
      </c>
      <c r="L441" s="1">
        <v>13</v>
      </c>
    </row>
    <row r="442" spans="1:12" x14ac:dyDescent="0.25">
      <c r="A442" s="1" t="s">
        <v>366</v>
      </c>
      <c r="B442" s="1" t="s">
        <v>613</v>
      </c>
      <c r="C442" s="1" t="s">
        <v>623</v>
      </c>
      <c r="D442" s="1" t="s">
        <v>638</v>
      </c>
      <c r="E442" s="1">
        <v>28</v>
      </c>
      <c r="F442" s="1" t="s">
        <v>642</v>
      </c>
      <c r="G442" s="1">
        <v>2</v>
      </c>
      <c r="H442" s="1">
        <v>2</v>
      </c>
      <c r="I442" s="1">
        <v>5350</v>
      </c>
      <c r="J442" s="1">
        <v>3</v>
      </c>
      <c r="K442" s="1">
        <v>3</v>
      </c>
      <c r="L442" s="1">
        <v>12</v>
      </c>
    </row>
    <row r="443" spans="1:12" x14ac:dyDescent="0.25">
      <c r="A443" s="1" t="s">
        <v>542</v>
      </c>
      <c r="B443" s="1" t="s">
        <v>615</v>
      </c>
      <c r="C443" s="1" t="s">
        <v>622</v>
      </c>
      <c r="D443" s="1" t="s">
        <v>638</v>
      </c>
      <c r="E443" s="1">
        <v>29</v>
      </c>
      <c r="F443" s="1" t="s">
        <v>641</v>
      </c>
      <c r="G443" s="1">
        <v>2</v>
      </c>
      <c r="H443" s="1">
        <v>4</v>
      </c>
      <c r="I443" s="1">
        <v>5240</v>
      </c>
      <c r="J443" s="1">
        <v>5</v>
      </c>
      <c r="K443" s="1">
        <v>5</v>
      </c>
      <c r="L443" s="1">
        <v>1</v>
      </c>
    </row>
    <row r="444" spans="1:12" x14ac:dyDescent="0.25">
      <c r="A444" s="1" t="s">
        <v>411</v>
      </c>
      <c r="B444" s="1" t="s">
        <v>617</v>
      </c>
      <c r="C444" s="1" t="s">
        <v>634</v>
      </c>
      <c r="D444" s="1" t="s">
        <v>637</v>
      </c>
      <c r="E444" s="1">
        <v>31</v>
      </c>
      <c r="F444" s="1" t="s">
        <v>641</v>
      </c>
      <c r="G444" s="1">
        <v>2</v>
      </c>
      <c r="H444" s="1">
        <v>3</v>
      </c>
      <c r="I444" s="1">
        <v>5050</v>
      </c>
      <c r="J444" s="1">
        <v>3</v>
      </c>
      <c r="K444" s="1">
        <v>4</v>
      </c>
      <c r="L444" s="1">
        <v>10</v>
      </c>
    </row>
    <row r="445" spans="1:12" x14ac:dyDescent="0.25">
      <c r="A445" s="1" t="s">
        <v>580</v>
      </c>
      <c r="B445" s="1" t="s">
        <v>612</v>
      </c>
      <c r="C445" s="1" t="s">
        <v>619</v>
      </c>
      <c r="D445" s="1" t="s">
        <v>638</v>
      </c>
      <c r="E445" s="1">
        <v>25</v>
      </c>
      <c r="F445" s="1" t="s">
        <v>639</v>
      </c>
      <c r="G445" s="1">
        <v>2</v>
      </c>
      <c r="H445" s="1">
        <v>2</v>
      </c>
      <c r="I445" s="1">
        <v>4940</v>
      </c>
      <c r="J445" s="1">
        <v>3</v>
      </c>
      <c r="K445" s="1">
        <v>3</v>
      </c>
      <c r="L445" s="1">
        <v>9</v>
      </c>
    </row>
    <row r="446" spans="1:12" x14ac:dyDescent="0.25">
      <c r="A446" s="1" t="s">
        <v>459</v>
      </c>
      <c r="B446" s="1" t="s">
        <v>612</v>
      </c>
      <c r="C446" s="1" t="s">
        <v>619</v>
      </c>
      <c r="D446" s="1" t="s">
        <v>638</v>
      </c>
      <c r="E446" s="1">
        <v>30</v>
      </c>
      <c r="F446" s="1" t="s">
        <v>639</v>
      </c>
      <c r="G446" s="1">
        <v>2</v>
      </c>
      <c r="H446" s="1">
        <v>2</v>
      </c>
      <c r="I446" s="1">
        <v>4760</v>
      </c>
      <c r="J446" s="1">
        <v>3</v>
      </c>
      <c r="K446" s="1">
        <v>2</v>
      </c>
      <c r="L446" s="1">
        <v>13</v>
      </c>
    </row>
    <row r="447" spans="1:12" x14ac:dyDescent="0.25">
      <c r="A447" s="1" t="s">
        <v>41</v>
      </c>
      <c r="B447" s="1" t="s">
        <v>617</v>
      </c>
      <c r="C447" s="1" t="s">
        <v>628</v>
      </c>
      <c r="D447" s="1" t="s">
        <v>638</v>
      </c>
      <c r="E447" s="1">
        <v>60</v>
      </c>
      <c r="F447" s="1" t="s">
        <v>639</v>
      </c>
      <c r="G447" s="1">
        <v>1</v>
      </c>
      <c r="H447" s="1">
        <v>39</v>
      </c>
      <c r="I447" s="1">
        <v>10300</v>
      </c>
      <c r="J447" s="1">
        <v>3</v>
      </c>
      <c r="K447" s="1">
        <v>3</v>
      </c>
      <c r="L447" s="1">
        <v>6</v>
      </c>
    </row>
    <row r="448" spans="1:12" x14ac:dyDescent="0.25">
      <c r="A448" s="1" t="s">
        <v>17</v>
      </c>
      <c r="B448" s="1" t="s">
        <v>613</v>
      </c>
      <c r="C448" s="1" t="s">
        <v>623</v>
      </c>
      <c r="D448" s="1" t="s">
        <v>638</v>
      </c>
      <c r="E448" s="1">
        <v>60</v>
      </c>
      <c r="F448" s="1" t="s">
        <v>639</v>
      </c>
      <c r="G448" s="1">
        <v>1</v>
      </c>
      <c r="H448" s="1">
        <v>38</v>
      </c>
      <c r="I448" s="1">
        <v>10100</v>
      </c>
      <c r="J448" s="1">
        <v>4</v>
      </c>
      <c r="K448" s="1">
        <v>3</v>
      </c>
      <c r="L448" s="1">
        <v>11</v>
      </c>
    </row>
    <row r="449" spans="1:12" x14ac:dyDescent="0.25">
      <c r="A449" s="1" t="s">
        <v>558</v>
      </c>
      <c r="B449" s="1" t="s">
        <v>614</v>
      </c>
      <c r="C449" s="1" t="s">
        <v>633</v>
      </c>
      <c r="D449" s="1" t="s">
        <v>638</v>
      </c>
      <c r="E449" s="1">
        <v>59</v>
      </c>
      <c r="F449" s="1" t="s">
        <v>642</v>
      </c>
      <c r="G449" s="1">
        <v>1</v>
      </c>
      <c r="H449" s="1">
        <v>37</v>
      </c>
      <c r="I449" s="1">
        <v>10100</v>
      </c>
      <c r="J449" s="1">
        <v>4</v>
      </c>
      <c r="K449" s="1">
        <v>2</v>
      </c>
      <c r="L449" s="1">
        <v>18</v>
      </c>
    </row>
    <row r="450" spans="1:12" x14ac:dyDescent="0.25">
      <c r="A450" s="1" t="s">
        <v>347</v>
      </c>
      <c r="B450" s="1" t="s">
        <v>616</v>
      </c>
      <c r="C450" s="1" t="s">
        <v>636</v>
      </c>
      <c r="D450" s="1" t="s">
        <v>637</v>
      </c>
      <c r="E450" s="1">
        <v>60</v>
      </c>
      <c r="F450" s="1" t="s">
        <v>640</v>
      </c>
      <c r="G450" s="1">
        <v>1</v>
      </c>
      <c r="H450" s="1">
        <v>34</v>
      </c>
      <c r="I450" s="1">
        <v>9630</v>
      </c>
      <c r="J450" s="1">
        <v>5</v>
      </c>
      <c r="K450" s="1">
        <v>4</v>
      </c>
      <c r="L450" s="1">
        <v>16</v>
      </c>
    </row>
    <row r="451" spans="1:12" x14ac:dyDescent="0.25">
      <c r="A451" s="1" t="s">
        <v>544</v>
      </c>
      <c r="B451" s="1" t="s">
        <v>616</v>
      </c>
      <c r="C451" s="1" t="s">
        <v>635</v>
      </c>
      <c r="D451" s="1" t="s">
        <v>638</v>
      </c>
      <c r="E451" s="1">
        <v>58</v>
      </c>
      <c r="F451" s="1" t="s">
        <v>639</v>
      </c>
      <c r="G451" s="1">
        <v>1</v>
      </c>
      <c r="H451" s="1">
        <v>31</v>
      </c>
      <c r="I451" s="1">
        <v>9140</v>
      </c>
      <c r="J451" s="1">
        <v>3</v>
      </c>
      <c r="K451" s="1">
        <v>4</v>
      </c>
      <c r="L451" s="1">
        <v>10</v>
      </c>
    </row>
    <row r="452" spans="1:12" x14ac:dyDescent="0.25">
      <c r="A452" s="1" t="s">
        <v>493</v>
      </c>
      <c r="B452" s="1" t="s">
        <v>614</v>
      </c>
      <c r="C452" s="1" t="s">
        <v>632</v>
      </c>
      <c r="D452" s="1" t="s">
        <v>637</v>
      </c>
      <c r="E452" s="1">
        <v>37</v>
      </c>
      <c r="F452" s="1" t="s">
        <v>641</v>
      </c>
      <c r="G452" s="1">
        <v>1</v>
      </c>
      <c r="H452" s="1">
        <v>19</v>
      </c>
      <c r="I452" s="1">
        <v>8910</v>
      </c>
      <c r="J452" s="1">
        <v>3</v>
      </c>
      <c r="K452" s="1">
        <v>5</v>
      </c>
      <c r="L452" s="1">
        <v>4</v>
      </c>
    </row>
    <row r="453" spans="1:12" x14ac:dyDescent="0.25">
      <c r="A453" s="1" t="s">
        <v>61</v>
      </c>
      <c r="B453" s="1" t="s">
        <v>616</v>
      </c>
      <c r="C453" s="1" t="s">
        <v>636</v>
      </c>
      <c r="D453" s="1" t="s">
        <v>638</v>
      </c>
      <c r="E453" s="1">
        <v>53</v>
      </c>
      <c r="F453" s="1" t="s">
        <v>641</v>
      </c>
      <c r="G453" s="1">
        <v>1</v>
      </c>
      <c r="H453" s="1">
        <v>26</v>
      </c>
      <c r="I453" s="1">
        <v>8600</v>
      </c>
      <c r="J453" s="1">
        <v>3</v>
      </c>
      <c r="K453" s="1">
        <v>5</v>
      </c>
      <c r="L453" s="1">
        <v>2</v>
      </c>
    </row>
    <row r="454" spans="1:12" x14ac:dyDescent="0.25">
      <c r="A454" s="1" t="s">
        <v>571</v>
      </c>
      <c r="B454" s="1" t="s">
        <v>615</v>
      </c>
      <c r="C454" s="1" t="s">
        <v>622</v>
      </c>
      <c r="D454" s="1" t="s">
        <v>638</v>
      </c>
      <c r="E454" s="1">
        <v>59</v>
      </c>
      <c r="F454" s="1" t="s">
        <v>639</v>
      </c>
      <c r="G454" s="1">
        <v>1</v>
      </c>
      <c r="H454" s="1">
        <v>30</v>
      </c>
      <c r="I454" s="1">
        <v>8550</v>
      </c>
      <c r="J454" s="1">
        <v>3</v>
      </c>
      <c r="K454" s="1">
        <v>5</v>
      </c>
      <c r="L454" s="1">
        <v>9</v>
      </c>
    </row>
    <row r="455" spans="1:12" x14ac:dyDescent="0.25">
      <c r="A455" s="1" t="s">
        <v>94</v>
      </c>
      <c r="B455" s="1" t="s">
        <v>614</v>
      </c>
      <c r="C455" s="1" t="s">
        <v>633</v>
      </c>
      <c r="D455" s="1" t="s">
        <v>637</v>
      </c>
      <c r="E455" s="1">
        <v>49</v>
      </c>
      <c r="F455" s="1" t="s">
        <v>639</v>
      </c>
      <c r="G455" s="1">
        <v>1</v>
      </c>
      <c r="H455" s="1">
        <v>22</v>
      </c>
      <c r="I455" s="1">
        <v>8330</v>
      </c>
      <c r="J455" s="1">
        <v>3</v>
      </c>
      <c r="K455" s="1">
        <v>3</v>
      </c>
      <c r="L455" s="1">
        <v>23</v>
      </c>
    </row>
    <row r="456" spans="1:12" x14ac:dyDescent="0.25">
      <c r="A456" s="1" t="s">
        <v>438</v>
      </c>
      <c r="B456" s="1" t="s">
        <v>615</v>
      </c>
      <c r="C456" s="1" t="s">
        <v>625</v>
      </c>
      <c r="D456" s="1" t="s">
        <v>637</v>
      </c>
      <c r="E456" s="1">
        <v>51</v>
      </c>
      <c r="F456" s="1" t="s">
        <v>639</v>
      </c>
      <c r="G456" s="1">
        <v>1</v>
      </c>
      <c r="H456" s="1">
        <v>28</v>
      </c>
      <c r="I456" s="1">
        <v>8290</v>
      </c>
      <c r="J456" s="1">
        <v>3</v>
      </c>
      <c r="K456" s="1">
        <v>5</v>
      </c>
      <c r="L456" s="1">
        <v>10</v>
      </c>
    </row>
    <row r="457" spans="1:12" x14ac:dyDescent="0.25">
      <c r="A457" s="1" t="s">
        <v>330</v>
      </c>
      <c r="B457" s="1" t="s">
        <v>616</v>
      </c>
      <c r="C457" s="1" t="s">
        <v>635</v>
      </c>
      <c r="D457" s="1" t="s">
        <v>638</v>
      </c>
      <c r="E457" s="1">
        <v>57</v>
      </c>
      <c r="F457" s="1" t="s">
        <v>639</v>
      </c>
      <c r="G457" s="1">
        <v>1</v>
      </c>
      <c r="H457" s="1">
        <v>33</v>
      </c>
      <c r="I457" s="1">
        <v>8190</v>
      </c>
      <c r="J457" s="1">
        <v>3</v>
      </c>
      <c r="K457" s="1">
        <v>4</v>
      </c>
      <c r="L457" s="1">
        <v>14</v>
      </c>
    </row>
    <row r="458" spans="1:12" x14ac:dyDescent="0.25">
      <c r="A458" s="1" t="s">
        <v>606</v>
      </c>
      <c r="B458" s="1" t="s">
        <v>617</v>
      </c>
      <c r="C458" s="1" t="s">
        <v>627</v>
      </c>
      <c r="D458" s="1" t="s">
        <v>638</v>
      </c>
      <c r="E458" s="1">
        <v>59</v>
      </c>
      <c r="F458" s="1" t="s">
        <v>639</v>
      </c>
      <c r="G458" s="1">
        <v>1</v>
      </c>
      <c r="H458" s="1">
        <v>34</v>
      </c>
      <c r="I458" s="1">
        <v>8170</v>
      </c>
      <c r="J458" s="1">
        <v>3</v>
      </c>
      <c r="K458" s="1">
        <v>3</v>
      </c>
      <c r="L458" s="1">
        <v>12</v>
      </c>
    </row>
    <row r="459" spans="1:12" x14ac:dyDescent="0.25">
      <c r="A459" s="1" t="s">
        <v>88</v>
      </c>
      <c r="B459" s="1" t="s">
        <v>613</v>
      </c>
      <c r="C459" s="1" t="s">
        <v>623</v>
      </c>
      <c r="D459" s="1" t="s">
        <v>637</v>
      </c>
      <c r="E459" s="1">
        <v>46</v>
      </c>
      <c r="F459" s="1" t="s">
        <v>639</v>
      </c>
      <c r="G459" s="1">
        <v>1</v>
      </c>
      <c r="H459" s="1">
        <v>22</v>
      </c>
      <c r="I459" s="1">
        <v>8160</v>
      </c>
      <c r="J459" s="1">
        <v>4</v>
      </c>
      <c r="K459" s="1">
        <v>5</v>
      </c>
      <c r="L459" s="1">
        <v>15</v>
      </c>
    </row>
    <row r="460" spans="1:12" x14ac:dyDescent="0.25">
      <c r="A460" s="1" t="s">
        <v>511</v>
      </c>
      <c r="B460" s="1" t="s">
        <v>613</v>
      </c>
      <c r="C460" s="1" t="s">
        <v>623</v>
      </c>
      <c r="D460" s="1" t="s">
        <v>637</v>
      </c>
      <c r="E460" s="1">
        <v>44</v>
      </c>
      <c r="F460" s="1" t="s">
        <v>642</v>
      </c>
      <c r="G460" s="1">
        <v>1</v>
      </c>
      <c r="H460" s="1">
        <v>24</v>
      </c>
      <c r="I460" s="1">
        <v>7970</v>
      </c>
      <c r="J460" s="1">
        <v>3</v>
      </c>
      <c r="K460" s="1">
        <v>4</v>
      </c>
      <c r="L460" s="1">
        <v>6</v>
      </c>
    </row>
    <row r="461" spans="1:12" x14ac:dyDescent="0.25">
      <c r="A461" s="1" t="s">
        <v>434</v>
      </c>
      <c r="B461" s="1" t="s">
        <v>612</v>
      </c>
      <c r="C461" s="1" t="s">
        <v>619</v>
      </c>
      <c r="D461" s="1" t="s">
        <v>638</v>
      </c>
      <c r="E461" s="1">
        <v>50</v>
      </c>
      <c r="F461" s="1" t="s">
        <v>639</v>
      </c>
      <c r="G461" s="1">
        <v>1</v>
      </c>
      <c r="H461" s="1">
        <v>25</v>
      </c>
      <c r="I461" s="1">
        <v>7590</v>
      </c>
      <c r="J461" s="1">
        <v>3</v>
      </c>
      <c r="K461" s="1">
        <v>5</v>
      </c>
      <c r="L461" s="1">
        <v>14</v>
      </c>
    </row>
    <row r="462" spans="1:12" x14ac:dyDescent="0.25">
      <c r="A462" s="1" t="s">
        <v>178</v>
      </c>
      <c r="B462" s="1" t="s">
        <v>616</v>
      </c>
      <c r="C462" s="1" t="s">
        <v>624</v>
      </c>
      <c r="D462" s="1" t="s">
        <v>637</v>
      </c>
      <c r="E462" s="1">
        <v>54</v>
      </c>
      <c r="F462" s="1" t="s">
        <v>639</v>
      </c>
      <c r="G462" s="1">
        <v>1</v>
      </c>
      <c r="H462" s="1">
        <v>29</v>
      </c>
      <c r="I462" s="1">
        <v>7530</v>
      </c>
      <c r="J462" s="1">
        <v>4</v>
      </c>
      <c r="K462" s="1">
        <v>2</v>
      </c>
      <c r="L462" s="1">
        <v>10</v>
      </c>
    </row>
    <row r="463" spans="1:12" x14ac:dyDescent="0.25">
      <c r="A463" s="1" t="s">
        <v>149</v>
      </c>
      <c r="B463" s="1" t="s">
        <v>613</v>
      </c>
      <c r="C463" s="1" t="s">
        <v>623</v>
      </c>
      <c r="D463" s="1" t="s">
        <v>638</v>
      </c>
      <c r="E463" s="1">
        <v>40</v>
      </c>
      <c r="F463" s="1" t="s">
        <v>642</v>
      </c>
      <c r="G463" s="1">
        <v>1</v>
      </c>
      <c r="H463" s="1">
        <v>22</v>
      </c>
      <c r="I463" s="1">
        <v>7490</v>
      </c>
      <c r="J463" s="1">
        <v>3</v>
      </c>
      <c r="K463" s="1">
        <v>2</v>
      </c>
      <c r="L463" s="1">
        <v>14</v>
      </c>
    </row>
    <row r="464" spans="1:12" x14ac:dyDescent="0.25">
      <c r="A464" s="1" t="s">
        <v>407</v>
      </c>
      <c r="B464" s="1" t="s">
        <v>614</v>
      </c>
      <c r="C464" s="1" t="s">
        <v>632</v>
      </c>
      <c r="D464" s="1" t="s">
        <v>637</v>
      </c>
      <c r="E464" s="1">
        <v>29</v>
      </c>
      <c r="F464" s="1" t="s">
        <v>642</v>
      </c>
      <c r="G464" s="1">
        <v>1</v>
      </c>
      <c r="H464" s="1">
        <v>5</v>
      </c>
      <c r="I464" s="1">
        <v>7270</v>
      </c>
      <c r="J464" s="1">
        <v>2</v>
      </c>
      <c r="K464" s="1">
        <v>1</v>
      </c>
      <c r="L464" s="1">
        <v>25</v>
      </c>
    </row>
    <row r="465" spans="1:12" x14ac:dyDescent="0.25">
      <c r="A465" s="1" t="s">
        <v>150</v>
      </c>
      <c r="B465" s="1" t="s">
        <v>614</v>
      </c>
      <c r="C465" s="1" t="s">
        <v>626</v>
      </c>
      <c r="D465" s="1" t="s">
        <v>637</v>
      </c>
      <c r="E465" s="1">
        <v>34</v>
      </c>
      <c r="F465" s="1" t="s">
        <v>641</v>
      </c>
      <c r="G465" s="1">
        <v>1</v>
      </c>
      <c r="H465" s="1">
        <v>13</v>
      </c>
      <c r="I465" s="1">
        <v>7180</v>
      </c>
      <c r="J465" s="1">
        <v>3</v>
      </c>
      <c r="K465" s="1">
        <v>3</v>
      </c>
      <c r="L465" s="1">
        <v>12</v>
      </c>
    </row>
    <row r="466" spans="1:12" x14ac:dyDescent="0.25">
      <c r="A466" s="1" t="s">
        <v>600</v>
      </c>
      <c r="B466" s="1" t="s">
        <v>616</v>
      </c>
      <c r="C466" s="1" t="s">
        <v>635</v>
      </c>
      <c r="D466" s="1" t="s">
        <v>638</v>
      </c>
      <c r="E466" s="1">
        <v>40</v>
      </c>
      <c r="F466" s="1" t="s">
        <v>640</v>
      </c>
      <c r="G466" s="1">
        <v>1</v>
      </c>
      <c r="H466" s="1">
        <v>17</v>
      </c>
      <c r="I466" s="1">
        <v>7140</v>
      </c>
      <c r="J466" s="1">
        <v>4</v>
      </c>
      <c r="K466" s="1">
        <v>3</v>
      </c>
      <c r="L466" s="1">
        <v>3</v>
      </c>
    </row>
    <row r="467" spans="1:12" x14ac:dyDescent="0.25">
      <c r="A467" s="1" t="s">
        <v>261</v>
      </c>
      <c r="B467" s="1" t="s">
        <v>617</v>
      </c>
      <c r="C467" s="1" t="s">
        <v>634</v>
      </c>
      <c r="D467" s="1" t="s">
        <v>638</v>
      </c>
      <c r="E467" s="1">
        <v>50</v>
      </c>
      <c r="F467" s="1" t="s">
        <v>640</v>
      </c>
      <c r="G467" s="1">
        <v>1</v>
      </c>
      <c r="H467" s="1">
        <v>28</v>
      </c>
      <c r="I467" s="1">
        <v>7100</v>
      </c>
      <c r="J467" s="1">
        <v>1</v>
      </c>
      <c r="K467" s="1">
        <v>4</v>
      </c>
      <c r="L467" s="1">
        <v>16</v>
      </c>
    </row>
    <row r="468" spans="1:12" x14ac:dyDescent="0.25">
      <c r="A468" s="1" t="s">
        <v>74</v>
      </c>
      <c r="B468" s="1" t="s">
        <v>617</v>
      </c>
      <c r="C468" s="1" t="s">
        <v>627</v>
      </c>
      <c r="D468" s="1" t="s">
        <v>637</v>
      </c>
      <c r="E468" s="1">
        <v>38</v>
      </c>
      <c r="F468" s="1" t="s">
        <v>639</v>
      </c>
      <c r="G468" s="1">
        <v>1</v>
      </c>
      <c r="H468" s="1">
        <v>18</v>
      </c>
      <c r="I468" s="1">
        <v>7010</v>
      </c>
      <c r="J468" s="1">
        <v>3</v>
      </c>
      <c r="K468" s="1">
        <v>3</v>
      </c>
      <c r="L468" s="1">
        <v>24</v>
      </c>
    </row>
    <row r="469" spans="1:12" x14ac:dyDescent="0.25">
      <c r="A469" s="1" t="s">
        <v>597</v>
      </c>
      <c r="B469" s="1" t="s">
        <v>615</v>
      </c>
      <c r="C469" s="1" t="s">
        <v>629</v>
      </c>
      <c r="D469" s="1" t="s">
        <v>638</v>
      </c>
      <c r="E469" s="1">
        <v>26</v>
      </c>
      <c r="F469" s="1" t="s">
        <v>642</v>
      </c>
      <c r="G469" s="1">
        <v>1</v>
      </c>
      <c r="H469" s="1">
        <v>1</v>
      </c>
      <c r="I469" s="1">
        <v>7000</v>
      </c>
      <c r="J469" s="1">
        <v>3</v>
      </c>
      <c r="K469" s="1">
        <v>3</v>
      </c>
      <c r="L469" s="1">
        <v>18</v>
      </c>
    </row>
    <row r="470" spans="1:12" x14ac:dyDescent="0.25">
      <c r="A470" s="1" t="s">
        <v>280</v>
      </c>
      <c r="B470" s="1" t="s">
        <v>614</v>
      </c>
      <c r="C470" s="1" t="s">
        <v>633</v>
      </c>
      <c r="D470" s="1" t="s">
        <v>638</v>
      </c>
      <c r="E470" s="1">
        <v>27</v>
      </c>
      <c r="F470" s="1" t="s">
        <v>639</v>
      </c>
      <c r="G470" s="1">
        <v>1</v>
      </c>
      <c r="H470" s="1">
        <v>2</v>
      </c>
      <c r="I470" s="1">
        <v>6950</v>
      </c>
      <c r="J470" s="1">
        <v>3</v>
      </c>
      <c r="K470" s="1">
        <v>4</v>
      </c>
      <c r="L470" s="1">
        <v>16</v>
      </c>
    </row>
    <row r="471" spans="1:12" x14ac:dyDescent="0.25">
      <c r="A471" s="1" t="s">
        <v>513</v>
      </c>
      <c r="B471" s="1" t="s">
        <v>616</v>
      </c>
      <c r="C471" s="1" t="s">
        <v>635</v>
      </c>
      <c r="D471" s="1" t="s">
        <v>638</v>
      </c>
      <c r="E471" s="1">
        <v>40</v>
      </c>
      <c r="F471" s="1" t="s">
        <v>639</v>
      </c>
      <c r="G471" s="1">
        <v>1</v>
      </c>
      <c r="H471" s="1">
        <v>18</v>
      </c>
      <c r="I471" s="1">
        <v>6930</v>
      </c>
      <c r="J471" s="1">
        <v>4</v>
      </c>
      <c r="K471" s="1">
        <v>5</v>
      </c>
      <c r="L471" s="1">
        <v>19</v>
      </c>
    </row>
    <row r="472" spans="1:12" x14ac:dyDescent="0.25">
      <c r="A472" s="1" t="s">
        <v>574</v>
      </c>
      <c r="B472" s="1" t="s">
        <v>612</v>
      </c>
      <c r="C472" s="1" t="s">
        <v>618</v>
      </c>
      <c r="D472" s="1" t="s">
        <v>637</v>
      </c>
      <c r="E472" s="1">
        <v>38</v>
      </c>
      <c r="F472" s="1" t="s">
        <v>639</v>
      </c>
      <c r="G472" s="1">
        <v>1</v>
      </c>
      <c r="H472" s="1">
        <v>15</v>
      </c>
      <c r="I472" s="1">
        <v>6830</v>
      </c>
      <c r="J472" s="1">
        <v>4</v>
      </c>
      <c r="K472" s="1">
        <v>3</v>
      </c>
      <c r="L472" s="1">
        <v>18</v>
      </c>
    </row>
    <row r="473" spans="1:12" x14ac:dyDescent="0.25">
      <c r="A473" s="1" t="s">
        <v>118</v>
      </c>
      <c r="B473" s="1" t="s">
        <v>616</v>
      </c>
      <c r="C473" s="1" t="s">
        <v>636</v>
      </c>
      <c r="D473" s="1" t="s">
        <v>637</v>
      </c>
      <c r="E473" s="1">
        <v>30</v>
      </c>
      <c r="F473" s="1" t="s">
        <v>642</v>
      </c>
      <c r="G473" s="1">
        <v>1</v>
      </c>
      <c r="H473" s="1">
        <v>7</v>
      </c>
      <c r="I473" s="1">
        <v>6620</v>
      </c>
      <c r="J473" s="1">
        <v>3</v>
      </c>
      <c r="K473" s="1">
        <v>3</v>
      </c>
      <c r="L473" s="1">
        <v>18</v>
      </c>
    </row>
    <row r="474" spans="1:12" x14ac:dyDescent="0.25">
      <c r="A474" s="1" t="s">
        <v>472</v>
      </c>
      <c r="B474" s="1" t="s">
        <v>614</v>
      </c>
      <c r="C474" s="1" t="s">
        <v>621</v>
      </c>
      <c r="D474" s="1" t="s">
        <v>637</v>
      </c>
      <c r="E474" s="1">
        <v>35</v>
      </c>
      <c r="F474" s="1" t="s">
        <v>639</v>
      </c>
      <c r="G474" s="1">
        <v>1</v>
      </c>
      <c r="H474" s="1">
        <v>9</v>
      </c>
      <c r="I474" s="1">
        <v>6520</v>
      </c>
      <c r="J474" s="1">
        <v>2</v>
      </c>
      <c r="K474" s="1">
        <v>3</v>
      </c>
      <c r="L474" s="1">
        <v>10</v>
      </c>
    </row>
    <row r="475" spans="1:12" x14ac:dyDescent="0.25">
      <c r="A475" s="1" t="s">
        <v>144</v>
      </c>
      <c r="B475" s="1" t="s">
        <v>617</v>
      </c>
      <c r="C475" s="1" t="s">
        <v>628</v>
      </c>
      <c r="D475" s="1" t="s">
        <v>638</v>
      </c>
      <c r="E475" s="1">
        <v>32</v>
      </c>
      <c r="F475" s="1" t="s">
        <v>639</v>
      </c>
      <c r="G475" s="1">
        <v>1</v>
      </c>
      <c r="H475" s="1">
        <v>12</v>
      </c>
      <c r="I475" s="1">
        <v>6500</v>
      </c>
      <c r="J475" s="1">
        <v>4</v>
      </c>
      <c r="K475" s="1">
        <v>5</v>
      </c>
      <c r="L475" s="1">
        <v>13</v>
      </c>
    </row>
    <row r="476" spans="1:12" x14ac:dyDescent="0.25">
      <c r="A476" s="1" t="s">
        <v>313</v>
      </c>
      <c r="B476" s="1" t="s">
        <v>614</v>
      </c>
      <c r="C476" s="1" t="s">
        <v>632</v>
      </c>
      <c r="D476" s="1" t="s">
        <v>638</v>
      </c>
      <c r="E476" s="1">
        <v>27</v>
      </c>
      <c r="F476" s="1" t="s">
        <v>639</v>
      </c>
      <c r="G476" s="1">
        <v>1</v>
      </c>
      <c r="H476" s="1">
        <v>4</v>
      </c>
      <c r="I476" s="1">
        <v>6470</v>
      </c>
      <c r="J476" s="1">
        <v>4</v>
      </c>
      <c r="K476" s="1">
        <v>5</v>
      </c>
      <c r="L476" s="1">
        <v>3</v>
      </c>
    </row>
    <row r="477" spans="1:12" x14ac:dyDescent="0.25">
      <c r="A477" s="1" t="s">
        <v>79</v>
      </c>
      <c r="B477" s="1" t="s">
        <v>612</v>
      </c>
      <c r="C477" s="1" t="s">
        <v>618</v>
      </c>
      <c r="D477" s="1" t="s">
        <v>637</v>
      </c>
      <c r="E477" s="1">
        <v>23</v>
      </c>
      <c r="F477" s="1" t="s">
        <v>639</v>
      </c>
      <c r="G477" s="1">
        <v>1</v>
      </c>
      <c r="H477" s="1">
        <v>6</v>
      </c>
      <c r="I477" s="1">
        <v>6250</v>
      </c>
      <c r="J477" s="1">
        <v>3</v>
      </c>
      <c r="K477" s="1">
        <v>4</v>
      </c>
      <c r="L477" s="1">
        <v>24</v>
      </c>
    </row>
    <row r="478" spans="1:12" x14ac:dyDescent="0.25">
      <c r="A478" s="1" t="s">
        <v>572</v>
      </c>
      <c r="B478" s="1" t="s">
        <v>615</v>
      </c>
      <c r="C478" s="1" t="s">
        <v>625</v>
      </c>
      <c r="D478" s="1" t="s">
        <v>637</v>
      </c>
      <c r="E478" s="1">
        <v>27</v>
      </c>
      <c r="F478" s="1" t="s">
        <v>640</v>
      </c>
      <c r="G478" s="1">
        <v>1</v>
      </c>
      <c r="H478" s="1">
        <v>5</v>
      </c>
      <c r="I478" s="1">
        <v>6190</v>
      </c>
      <c r="J478" s="1">
        <v>3</v>
      </c>
      <c r="K478" s="1">
        <v>2</v>
      </c>
      <c r="L478" s="1">
        <v>0</v>
      </c>
    </row>
    <row r="479" spans="1:12" x14ac:dyDescent="0.25">
      <c r="A479" s="1" t="s">
        <v>588</v>
      </c>
      <c r="B479" s="1" t="s">
        <v>616</v>
      </c>
      <c r="C479" s="1" t="s">
        <v>624</v>
      </c>
      <c r="D479" s="1" t="s">
        <v>638</v>
      </c>
      <c r="E479" s="1">
        <v>43</v>
      </c>
      <c r="F479" s="1" t="s">
        <v>639</v>
      </c>
      <c r="G479" s="1">
        <v>1</v>
      </c>
      <c r="H479" s="1">
        <v>23</v>
      </c>
      <c r="I479" s="1">
        <v>6190</v>
      </c>
      <c r="J479" s="1">
        <v>5</v>
      </c>
      <c r="K479" s="1">
        <v>3</v>
      </c>
      <c r="L479" s="1">
        <v>19</v>
      </c>
    </row>
    <row r="480" spans="1:12" x14ac:dyDescent="0.25">
      <c r="A480" s="1" t="s">
        <v>356</v>
      </c>
      <c r="B480" s="1" t="s">
        <v>614</v>
      </c>
      <c r="C480" s="1" t="s">
        <v>621</v>
      </c>
      <c r="D480" s="1" t="s">
        <v>637</v>
      </c>
      <c r="E480" s="1">
        <v>22</v>
      </c>
      <c r="F480" s="1" t="s">
        <v>640</v>
      </c>
      <c r="G480" s="1">
        <v>1</v>
      </c>
      <c r="H480" s="1">
        <v>2</v>
      </c>
      <c r="I480" s="1">
        <v>6110</v>
      </c>
      <c r="J480" s="1">
        <v>4</v>
      </c>
      <c r="K480" s="1">
        <v>2</v>
      </c>
      <c r="L480" s="1">
        <v>4</v>
      </c>
    </row>
    <row r="481" spans="1:12" x14ac:dyDescent="0.25">
      <c r="A481" s="1" t="s">
        <v>525</v>
      </c>
      <c r="B481" s="1" t="s">
        <v>612</v>
      </c>
      <c r="C481" s="1" t="s">
        <v>619</v>
      </c>
      <c r="D481" s="1" t="s">
        <v>638</v>
      </c>
      <c r="E481" s="1">
        <v>36</v>
      </c>
      <c r="F481" s="1" t="s">
        <v>639</v>
      </c>
      <c r="G481" s="1">
        <v>1</v>
      </c>
      <c r="H481" s="1">
        <v>15</v>
      </c>
      <c r="I481" s="1">
        <v>6010</v>
      </c>
      <c r="J481" s="1">
        <v>3</v>
      </c>
      <c r="K481" s="1">
        <v>1</v>
      </c>
      <c r="L481" s="1">
        <v>3</v>
      </c>
    </row>
    <row r="482" spans="1:12" x14ac:dyDescent="0.25">
      <c r="A482" s="1" t="s">
        <v>581</v>
      </c>
      <c r="B482" s="1" t="s">
        <v>617</v>
      </c>
      <c r="C482" s="1" t="s">
        <v>634</v>
      </c>
      <c r="D482" s="1" t="s">
        <v>638</v>
      </c>
      <c r="E482" s="1">
        <v>50</v>
      </c>
      <c r="F482" s="1" t="s">
        <v>641</v>
      </c>
      <c r="G482" s="1">
        <v>1</v>
      </c>
      <c r="H482" s="1">
        <v>21</v>
      </c>
      <c r="I482" s="1">
        <v>6010</v>
      </c>
      <c r="J482" s="1">
        <v>3</v>
      </c>
      <c r="K482" s="1">
        <v>5</v>
      </c>
      <c r="L482" s="1">
        <v>23</v>
      </c>
    </row>
    <row r="483" spans="1:12" x14ac:dyDescent="0.25">
      <c r="A483" s="1" t="s">
        <v>234</v>
      </c>
      <c r="B483" s="1" t="s">
        <v>613</v>
      </c>
      <c r="C483" s="1" t="s">
        <v>620</v>
      </c>
      <c r="D483" s="1" t="s">
        <v>637</v>
      </c>
      <c r="E483" s="1">
        <v>35</v>
      </c>
      <c r="F483" s="1" t="s">
        <v>639</v>
      </c>
      <c r="G483" s="1">
        <v>1</v>
      </c>
      <c r="H483" s="1">
        <v>7</v>
      </c>
      <c r="I483" s="1">
        <v>5980</v>
      </c>
      <c r="J483" s="1">
        <v>4</v>
      </c>
      <c r="K483" s="1">
        <v>4</v>
      </c>
      <c r="L483" s="1">
        <v>8</v>
      </c>
    </row>
    <row r="484" spans="1:12" x14ac:dyDescent="0.25">
      <c r="A484" s="1" t="s">
        <v>457</v>
      </c>
      <c r="B484" s="1" t="s">
        <v>614</v>
      </c>
      <c r="C484" s="1" t="s">
        <v>633</v>
      </c>
      <c r="D484" s="1" t="s">
        <v>637</v>
      </c>
      <c r="E484" s="1">
        <v>26</v>
      </c>
      <c r="F484" s="1" t="s">
        <v>639</v>
      </c>
      <c r="G484" s="1">
        <v>1</v>
      </c>
      <c r="H484" s="1">
        <v>1</v>
      </c>
      <c r="I484" s="1">
        <v>5940</v>
      </c>
      <c r="J484" s="1">
        <v>3</v>
      </c>
      <c r="K484" s="1">
        <v>3</v>
      </c>
      <c r="L484" s="1">
        <v>1</v>
      </c>
    </row>
    <row r="485" spans="1:12" x14ac:dyDescent="0.25">
      <c r="A485" s="1" t="s">
        <v>486</v>
      </c>
      <c r="B485" s="1" t="s">
        <v>614</v>
      </c>
      <c r="C485" s="1" t="s">
        <v>621</v>
      </c>
      <c r="D485" s="1" t="s">
        <v>638</v>
      </c>
      <c r="E485" s="1">
        <v>26</v>
      </c>
      <c r="F485" s="1" t="s">
        <v>639</v>
      </c>
      <c r="G485" s="1">
        <v>1</v>
      </c>
      <c r="H485" s="1">
        <v>3</v>
      </c>
      <c r="I485" s="1">
        <v>5930</v>
      </c>
      <c r="J485" s="1">
        <v>3</v>
      </c>
      <c r="K485" s="1">
        <v>3</v>
      </c>
      <c r="L485" s="1">
        <v>9</v>
      </c>
    </row>
    <row r="486" spans="1:12" x14ac:dyDescent="0.25">
      <c r="A486" s="1" t="s">
        <v>584</v>
      </c>
      <c r="B486" s="1" t="s">
        <v>612</v>
      </c>
      <c r="C486" s="1" t="s">
        <v>619</v>
      </c>
      <c r="D486" s="1" t="s">
        <v>637</v>
      </c>
      <c r="E486" s="1">
        <v>32</v>
      </c>
      <c r="F486" s="1" t="s">
        <v>639</v>
      </c>
      <c r="G486" s="1">
        <v>1</v>
      </c>
      <c r="H486" s="1">
        <v>13</v>
      </c>
      <c r="I486" s="1">
        <v>5870</v>
      </c>
      <c r="J486" s="1">
        <v>4</v>
      </c>
      <c r="K486" s="1">
        <v>3</v>
      </c>
      <c r="L486" s="1">
        <v>11</v>
      </c>
    </row>
    <row r="487" spans="1:12" x14ac:dyDescent="0.25">
      <c r="A487" s="1" t="s">
        <v>510</v>
      </c>
      <c r="B487" s="1" t="s">
        <v>612</v>
      </c>
      <c r="C487" s="1" t="s">
        <v>619</v>
      </c>
      <c r="D487" s="1" t="s">
        <v>638</v>
      </c>
      <c r="E487" s="1">
        <v>26</v>
      </c>
      <c r="F487" s="1" t="s">
        <v>642</v>
      </c>
      <c r="G487" s="1">
        <v>1</v>
      </c>
      <c r="H487" s="1">
        <v>6</v>
      </c>
      <c r="I487" s="1">
        <v>5840</v>
      </c>
      <c r="J487" s="1">
        <v>3</v>
      </c>
      <c r="K487" s="1">
        <v>2</v>
      </c>
      <c r="L487" s="1">
        <v>2</v>
      </c>
    </row>
    <row r="488" spans="1:12" x14ac:dyDescent="0.25">
      <c r="A488" s="1" t="s">
        <v>86</v>
      </c>
      <c r="B488" s="1" t="s">
        <v>613</v>
      </c>
      <c r="C488" s="1" t="s">
        <v>620</v>
      </c>
      <c r="D488" s="1" t="s">
        <v>637</v>
      </c>
      <c r="E488" s="1">
        <v>30</v>
      </c>
      <c r="F488" s="1" t="s">
        <v>639</v>
      </c>
      <c r="G488" s="1">
        <v>1</v>
      </c>
      <c r="H488" s="1">
        <v>6</v>
      </c>
      <c r="I488" s="1">
        <v>5790</v>
      </c>
      <c r="J488" s="1">
        <v>2</v>
      </c>
      <c r="K488" s="1">
        <v>3</v>
      </c>
      <c r="L488" s="1">
        <v>7</v>
      </c>
    </row>
    <row r="489" spans="1:12" x14ac:dyDescent="0.25">
      <c r="A489" s="1" t="s">
        <v>222</v>
      </c>
      <c r="B489" s="1" t="s">
        <v>612</v>
      </c>
      <c r="C489" s="1" t="s">
        <v>618</v>
      </c>
      <c r="D489" s="1" t="s">
        <v>637</v>
      </c>
      <c r="E489" s="1">
        <v>29</v>
      </c>
      <c r="F489" s="1" t="s">
        <v>642</v>
      </c>
      <c r="G489" s="1">
        <v>1</v>
      </c>
      <c r="H489" s="1">
        <v>9</v>
      </c>
      <c r="I489" s="1">
        <v>5720</v>
      </c>
      <c r="J489" s="1">
        <v>3</v>
      </c>
      <c r="K489" s="1">
        <v>3</v>
      </c>
      <c r="L489" s="1">
        <v>15</v>
      </c>
    </row>
    <row r="490" spans="1:12" x14ac:dyDescent="0.25">
      <c r="A490" s="1" t="s">
        <v>507</v>
      </c>
      <c r="B490" s="1" t="s">
        <v>616</v>
      </c>
      <c r="C490" s="1" t="s">
        <v>636</v>
      </c>
      <c r="D490" s="1" t="s">
        <v>637</v>
      </c>
      <c r="E490" s="1">
        <v>22</v>
      </c>
      <c r="F490" s="1" t="s">
        <v>639</v>
      </c>
      <c r="G490" s="1">
        <v>1</v>
      </c>
      <c r="H490" s="1">
        <v>1</v>
      </c>
      <c r="I490" s="1">
        <v>5620</v>
      </c>
      <c r="J490" s="1">
        <v>1</v>
      </c>
      <c r="K490" s="1">
        <v>3</v>
      </c>
      <c r="L490" s="1">
        <v>0</v>
      </c>
    </row>
    <row r="491" spans="1:12" x14ac:dyDescent="0.25">
      <c r="A491" s="1" t="s">
        <v>485</v>
      </c>
      <c r="B491" s="1" t="s">
        <v>613</v>
      </c>
      <c r="C491" s="1" t="s">
        <v>620</v>
      </c>
      <c r="D491" s="1" t="s">
        <v>637</v>
      </c>
      <c r="E491" s="1">
        <v>36</v>
      </c>
      <c r="F491" s="1" t="s">
        <v>639</v>
      </c>
      <c r="G491" s="1">
        <v>1</v>
      </c>
      <c r="H491" s="1">
        <v>10</v>
      </c>
      <c r="I491" s="1">
        <v>5610</v>
      </c>
      <c r="J491" s="1">
        <v>4</v>
      </c>
      <c r="K491" s="1">
        <v>4</v>
      </c>
      <c r="L491" s="1">
        <v>0</v>
      </c>
    </row>
    <row r="492" spans="1:12" x14ac:dyDescent="0.25">
      <c r="A492" s="1" t="s">
        <v>305</v>
      </c>
      <c r="B492" s="1" t="s">
        <v>617</v>
      </c>
      <c r="C492" s="1" t="s">
        <v>634</v>
      </c>
      <c r="D492" s="1" t="s">
        <v>637</v>
      </c>
      <c r="E492" s="1">
        <v>35</v>
      </c>
      <c r="F492" s="1" t="s">
        <v>642</v>
      </c>
      <c r="G492" s="1">
        <v>1</v>
      </c>
      <c r="H492" s="1">
        <v>13</v>
      </c>
      <c r="I492" s="1">
        <v>5520</v>
      </c>
      <c r="J492" s="1">
        <v>4</v>
      </c>
      <c r="K492" s="1">
        <v>4</v>
      </c>
      <c r="L492" s="1">
        <v>12</v>
      </c>
    </row>
    <row r="493" spans="1:12" x14ac:dyDescent="0.25">
      <c r="A493" s="1" t="s">
        <v>274</v>
      </c>
      <c r="B493" s="1" t="s">
        <v>612</v>
      </c>
      <c r="C493" s="1" t="s">
        <v>618</v>
      </c>
      <c r="D493" s="1" t="s">
        <v>637</v>
      </c>
      <c r="E493" s="1">
        <v>27</v>
      </c>
      <c r="F493" s="1" t="s">
        <v>639</v>
      </c>
      <c r="G493" s="1">
        <v>1</v>
      </c>
      <c r="H493" s="1">
        <v>1</v>
      </c>
      <c r="I493" s="1">
        <v>5510</v>
      </c>
      <c r="J493" s="1">
        <v>3</v>
      </c>
      <c r="K493" s="1">
        <v>4</v>
      </c>
      <c r="L493" s="1">
        <v>6</v>
      </c>
    </row>
    <row r="494" spans="1:12" x14ac:dyDescent="0.25">
      <c r="A494" s="1" t="s">
        <v>183</v>
      </c>
      <c r="B494" s="1" t="s">
        <v>616</v>
      </c>
      <c r="C494" s="1" t="s">
        <v>635</v>
      </c>
      <c r="D494" s="1" t="s">
        <v>638</v>
      </c>
      <c r="E494" s="1">
        <v>22</v>
      </c>
      <c r="F494" s="1" t="s">
        <v>639</v>
      </c>
      <c r="G494" s="1">
        <v>1</v>
      </c>
      <c r="H494" s="1">
        <v>1</v>
      </c>
      <c r="I494" s="1">
        <v>5430</v>
      </c>
      <c r="J494" s="1">
        <v>3</v>
      </c>
      <c r="K494" s="1">
        <v>3</v>
      </c>
      <c r="L494" s="1">
        <v>13</v>
      </c>
    </row>
    <row r="495" spans="1:12" x14ac:dyDescent="0.25">
      <c r="A495" s="1" t="s">
        <v>210</v>
      </c>
      <c r="B495" s="1" t="s">
        <v>614</v>
      </c>
      <c r="C495" s="1" t="s">
        <v>626</v>
      </c>
      <c r="D495" s="1" t="s">
        <v>637</v>
      </c>
      <c r="E495" s="1">
        <v>27</v>
      </c>
      <c r="F495" s="1" t="s">
        <v>639</v>
      </c>
      <c r="G495" s="1">
        <v>1</v>
      </c>
      <c r="H495" s="1">
        <v>1</v>
      </c>
      <c r="I495" s="1">
        <v>5430</v>
      </c>
      <c r="J495" s="1">
        <v>5</v>
      </c>
      <c r="K495" s="1">
        <v>1</v>
      </c>
      <c r="L495" s="1">
        <v>14</v>
      </c>
    </row>
    <row r="496" spans="1:12" x14ac:dyDescent="0.25">
      <c r="A496" s="1" t="s">
        <v>499</v>
      </c>
      <c r="B496" s="1" t="s">
        <v>615</v>
      </c>
      <c r="C496" s="1" t="s">
        <v>622</v>
      </c>
      <c r="D496" s="1" t="s">
        <v>637</v>
      </c>
      <c r="E496" s="1">
        <v>34</v>
      </c>
      <c r="F496" s="1" t="s">
        <v>642</v>
      </c>
      <c r="G496" s="1">
        <v>1</v>
      </c>
      <c r="H496" s="1">
        <v>6</v>
      </c>
      <c r="I496" s="1">
        <v>5330</v>
      </c>
      <c r="J496" s="1">
        <v>3</v>
      </c>
      <c r="K496" s="1">
        <v>3</v>
      </c>
      <c r="L496" s="1">
        <v>8</v>
      </c>
    </row>
    <row r="497" spans="1:12" x14ac:dyDescent="0.25">
      <c r="A497" s="1" t="s">
        <v>160</v>
      </c>
      <c r="B497" s="1" t="s">
        <v>615</v>
      </c>
      <c r="C497" s="1" t="s">
        <v>622</v>
      </c>
      <c r="D497" s="1" t="s">
        <v>637</v>
      </c>
      <c r="E497" s="1">
        <v>24</v>
      </c>
      <c r="F497" s="1" t="s">
        <v>639</v>
      </c>
      <c r="G497" s="1">
        <v>1</v>
      </c>
      <c r="H497" s="1">
        <v>1</v>
      </c>
      <c r="I497" s="1">
        <v>5290</v>
      </c>
      <c r="J497" s="1">
        <v>3</v>
      </c>
      <c r="K497" s="1">
        <v>4</v>
      </c>
      <c r="L497" s="1">
        <v>20</v>
      </c>
    </row>
    <row r="498" spans="1:12" x14ac:dyDescent="0.25">
      <c r="A498" s="1" t="s">
        <v>25</v>
      </c>
      <c r="B498" s="1" t="s">
        <v>617</v>
      </c>
      <c r="C498" s="1" t="s">
        <v>627</v>
      </c>
      <c r="D498" s="1" t="s">
        <v>637</v>
      </c>
      <c r="E498" s="1">
        <v>22</v>
      </c>
      <c r="F498" s="1" t="s">
        <v>642</v>
      </c>
      <c r="G498" s="1">
        <v>1</v>
      </c>
      <c r="H498" s="1">
        <v>2</v>
      </c>
      <c r="I498" s="1">
        <v>5130</v>
      </c>
      <c r="J498" s="1">
        <v>4</v>
      </c>
      <c r="K498" s="1">
        <v>3</v>
      </c>
      <c r="L498" s="1">
        <v>0</v>
      </c>
    </row>
    <row r="499" spans="1:12" x14ac:dyDescent="0.25">
      <c r="A499" s="1" t="s">
        <v>393</v>
      </c>
      <c r="B499" s="1" t="s">
        <v>617</v>
      </c>
      <c r="C499" s="1" t="s">
        <v>634</v>
      </c>
      <c r="D499" s="1" t="s">
        <v>638</v>
      </c>
      <c r="E499" s="1">
        <v>24</v>
      </c>
      <c r="F499" s="1" t="s">
        <v>639</v>
      </c>
      <c r="G499" s="1">
        <v>1</v>
      </c>
      <c r="H499" s="1">
        <v>3</v>
      </c>
      <c r="I499" s="1">
        <v>5070</v>
      </c>
      <c r="J499" s="1">
        <v>2</v>
      </c>
      <c r="K499" s="1">
        <v>3</v>
      </c>
      <c r="L499" s="1">
        <v>7</v>
      </c>
    </row>
    <row r="500" spans="1:12" x14ac:dyDescent="0.25">
      <c r="A500" s="1" t="s">
        <v>599</v>
      </c>
      <c r="B500" s="1" t="s">
        <v>617</v>
      </c>
      <c r="C500" s="1" t="s">
        <v>628</v>
      </c>
      <c r="D500" s="1" t="s">
        <v>637</v>
      </c>
      <c r="E500" s="1">
        <v>31</v>
      </c>
      <c r="F500" s="1" t="s">
        <v>640</v>
      </c>
      <c r="G500" s="1">
        <v>1</v>
      </c>
      <c r="H500" s="1">
        <v>3</v>
      </c>
      <c r="I500" s="1">
        <v>4980</v>
      </c>
      <c r="J500" s="1">
        <v>5</v>
      </c>
      <c r="K500" s="1">
        <v>5</v>
      </c>
      <c r="L500" s="1">
        <v>17</v>
      </c>
    </row>
    <row r="501" spans="1:12" x14ac:dyDescent="0.25">
      <c r="A501" s="1" t="s">
        <v>405</v>
      </c>
      <c r="B501" s="1" t="s">
        <v>616</v>
      </c>
      <c r="C501" s="1" t="s">
        <v>624</v>
      </c>
      <c r="D501" s="1" t="s">
        <v>637</v>
      </c>
      <c r="E501" s="1">
        <v>26</v>
      </c>
      <c r="F501" s="1" t="s">
        <v>642</v>
      </c>
      <c r="G501" s="1">
        <v>1</v>
      </c>
      <c r="H501" s="1">
        <v>2</v>
      </c>
      <c r="I501" s="1">
        <v>4800</v>
      </c>
      <c r="J501" s="1">
        <v>3</v>
      </c>
      <c r="K501" s="1">
        <v>3</v>
      </c>
      <c r="L501" s="1">
        <v>7</v>
      </c>
    </row>
    <row r="502" spans="1:12" x14ac:dyDescent="0.25">
      <c r="A502" s="1" t="s">
        <v>331</v>
      </c>
      <c r="B502" s="1" t="s">
        <v>613</v>
      </c>
      <c r="C502" s="1" t="s">
        <v>620</v>
      </c>
      <c r="D502" s="1" t="s">
        <v>638</v>
      </c>
      <c r="E502" s="1">
        <v>30</v>
      </c>
      <c r="F502" s="1" t="s">
        <v>639</v>
      </c>
      <c r="G502" s="1">
        <v>1</v>
      </c>
      <c r="H502" s="1">
        <v>9</v>
      </c>
      <c r="I502" s="1">
        <v>4770</v>
      </c>
      <c r="J502" s="1">
        <v>2</v>
      </c>
      <c r="K502" s="1">
        <v>3</v>
      </c>
      <c r="L502" s="1">
        <v>14</v>
      </c>
    </row>
    <row r="503" spans="1:12" x14ac:dyDescent="0.25">
      <c r="A503" s="1" t="s">
        <v>395</v>
      </c>
      <c r="B503" s="1" t="s">
        <v>613</v>
      </c>
      <c r="C503" s="1" t="s">
        <v>620</v>
      </c>
      <c r="D503" s="1" t="s">
        <v>637</v>
      </c>
      <c r="E503" s="1">
        <v>24</v>
      </c>
      <c r="F503" s="1" t="s">
        <v>639</v>
      </c>
      <c r="G503" s="1">
        <v>1</v>
      </c>
      <c r="H503" s="1">
        <v>1</v>
      </c>
      <c r="I503" s="1">
        <v>4750</v>
      </c>
      <c r="J503" s="1">
        <v>3</v>
      </c>
      <c r="K503" s="1">
        <v>5</v>
      </c>
      <c r="L503" s="1">
        <v>0</v>
      </c>
    </row>
    <row r="504" spans="1:12" x14ac:dyDescent="0.25">
      <c r="A504" s="1" t="s">
        <v>56</v>
      </c>
      <c r="B504" s="1" t="s">
        <v>614</v>
      </c>
      <c r="C504" s="1" t="s">
        <v>626</v>
      </c>
      <c r="D504" s="1" t="s">
        <v>637</v>
      </c>
      <c r="E504" s="1">
        <v>21</v>
      </c>
      <c r="F504" s="1" t="s">
        <v>641</v>
      </c>
      <c r="G504" s="1">
        <v>1</v>
      </c>
      <c r="H504" s="1">
        <v>1</v>
      </c>
      <c r="I504" s="1">
        <v>4680</v>
      </c>
      <c r="J504" s="1">
        <v>4</v>
      </c>
      <c r="K504" s="1">
        <v>3</v>
      </c>
      <c r="L504" s="1">
        <v>4</v>
      </c>
    </row>
    <row r="505" spans="1:12" x14ac:dyDescent="0.25">
      <c r="A505" s="1" t="s">
        <v>336</v>
      </c>
      <c r="B505" s="1" t="s">
        <v>617</v>
      </c>
      <c r="C505" s="1" t="s">
        <v>634</v>
      </c>
      <c r="D505" s="1" t="s">
        <v>637</v>
      </c>
      <c r="E505" s="1">
        <v>27</v>
      </c>
      <c r="F505" s="1" t="s">
        <v>639</v>
      </c>
      <c r="G505" s="1">
        <v>1</v>
      </c>
      <c r="H505" s="1">
        <v>5</v>
      </c>
      <c r="I505" s="1">
        <v>4680</v>
      </c>
      <c r="J505" s="1">
        <v>3</v>
      </c>
      <c r="K505" s="1">
        <v>4</v>
      </c>
      <c r="L505" s="1">
        <v>10</v>
      </c>
    </row>
    <row r="506" spans="1:12" x14ac:dyDescent="0.25">
      <c r="A506" s="1" t="s">
        <v>180</v>
      </c>
      <c r="B506" s="1" t="s">
        <v>617</v>
      </c>
      <c r="C506" s="1" t="s">
        <v>634</v>
      </c>
      <c r="D506" s="1" t="s">
        <v>638</v>
      </c>
      <c r="E506" s="1">
        <v>30</v>
      </c>
      <c r="F506" s="1" t="s">
        <v>641</v>
      </c>
      <c r="G506" s="1">
        <v>1</v>
      </c>
      <c r="H506" s="1">
        <v>1</v>
      </c>
      <c r="I506" s="1">
        <v>4470</v>
      </c>
      <c r="J506" s="1">
        <v>5</v>
      </c>
      <c r="K506" s="1">
        <v>3</v>
      </c>
      <c r="L506" s="1">
        <v>8</v>
      </c>
    </row>
    <row r="507" spans="1:12" x14ac:dyDescent="0.25">
      <c r="A507" s="1" t="s">
        <v>138</v>
      </c>
      <c r="B507" s="1" t="s">
        <v>615</v>
      </c>
      <c r="C507" s="1" t="s">
        <v>629</v>
      </c>
      <c r="D507" s="1" t="s">
        <v>637</v>
      </c>
      <c r="E507" s="1">
        <v>54</v>
      </c>
      <c r="F507" s="1" t="s">
        <v>641</v>
      </c>
      <c r="G507" s="1">
        <v>0</v>
      </c>
      <c r="H507" s="1">
        <v>29</v>
      </c>
      <c r="I507" s="1">
        <v>10240</v>
      </c>
      <c r="J507" s="1">
        <v>4</v>
      </c>
      <c r="K507" s="1">
        <v>3</v>
      </c>
      <c r="L507" s="1">
        <v>20</v>
      </c>
    </row>
    <row r="508" spans="1:12" x14ac:dyDescent="0.25">
      <c r="A508" s="1" t="s">
        <v>108</v>
      </c>
      <c r="B508" s="1" t="s">
        <v>612</v>
      </c>
      <c r="C508" s="1" t="s">
        <v>630</v>
      </c>
      <c r="D508" s="1" t="s">
        <v>637</v>
      </c>
      <c r="E508" s="1">
        <v>57</v>
      </c>
      <c r="F508" s="1" t="s">
        <v>641</v>
      </c>
      <c r="G508" s="1">
        <v>0</v>
      </c>
      <c r="H508" s="1">
        <v>39</v>
      </c>
      <c r="I508" s="1">
        <v>9330</v>
      </c>
      <c r="J508" s="1">
        <v>3</v>
      </c>
      <c r="K508" s="1">
        <v>4</v>
      </c>
      <c r="L508" s="1">
        <v>8</v>
      </c>
    </row>
    <row r="509" spans="1:12" x14ac:dyDescent="0.25">
      <c r="A509" s="1" t="s">
        <v>35</v>
      </c>
      <c r="B509" s="1" t="s">
        <v>613</v>
      </c>
      <c r="C509" s="1" t="s">
        <v>623</v>
      </c>
      <c r="D509" s="1" t="s">
        <v>637</v>
      </c>
      <c r="E509" s="1">
        <v>57</v>
      </c>
      <c r="F509" s="1" t="s">
        <v>639</v>
      </c>
      <c r="G509" s="1">
        <v>0</v>
      </c>
      <c r="H509" s="1">
        <v>32</v>
      </c>
      <c r="I509" s="1">
        <v>9290</v>
      </c>
      <c r="J509" s="1">
        <v>2</v>
      </c>
      <c r="K509" s="1">
        <v>3</v>
      </c>
      <c r="L509" s="1">
        <v>10</v>
      </c>
    </row>
    <row r="510" spans="1:12" x14ac:dyDescent="0.25">
      <c r="A510" s="1" t="s">
        <v>431</v>
      </c>
      <c r="B510" s="1" t="s">
        <v>616</v>
      </c>
      <c r="C510" s="1" t="s">
        <v>635</v>
      </c>
      <c r="D510" s="1" t="s">
        <v>637</v>
      </c>
      <c r="E510" s="1">
        <v>58</v>
      </c>
      <c r="F510" s="1" t="s">
        <v>639</v>
      </c>
      <c r="G510" s="1">
        <v>0</v>
      </c>
      <c r="H510" s="1">
        <v>33</v>
      </c>
      <c r="I510" s="1">
        <v>9030</v>
      </c>
      <c r="J510" s="1">
        <v>4</v>
      </c>
      <c r="K510" s="1">
        <v>4</v>
      </c>
      <c r="L510" s="1">
        <v>11</v>
      </c>
    </row>
    <row r="511" spans="1:12" x14ac:dyDescent="0.25">
      <c r="A511" s="1" t="s">
        <v>47</v>
      </c>
      <c r="B511" s="1" t="s">
        <v>614</v>
      </c>
      <c r="C511" s="1" t="s">
        <v>633</v>
      </c>
      <c r="D511" s="1" t="s">
        <v>638</v>
      </c>
      <c r="E511" s="1">
        <v>57</v>
      </c>
      <c r="F511" s="1" t="s">
        <v>639</v>
      </c>
      <c r="G511" s="1">
        <v>0</v>
      </c>
      <c r="H511" s="1">
        <v>33</v>
      </c>
      <c r="I511" s="1">
        <v>9000</v>
      </c>
      <c r="J511" s="1">
        <v>3</v>
      </c>
      <c r="K511" s="1">
        <v>3</v>
      </c>
      <c r="L511" s="1">
        <v>4</v>
      </c>
    </row>
    <row r="512" spans="1:12" x14ac:dyDescent="0.25">
      <c r="A512" s="1" t="s">
        <v>193</v>
      </c>
      <c r="B512" s="1" t="s">
        <v>613</v>
      </c>
      <c r="C512" s="1" t="s">
        <v>631</v>
      </c>
      <c r="D512" s="1" t="s">
        <v>638</v>
      </c>
      <c r="E512" s="1">
        <v>52</v>
      </c>
      <c r="F512" s="1" t="s">
        <v>639</v>
      </c>
      <c r="G512" s="1">
        <v>0</v>
      </c>
      <c r="H512" s="1">
        <v>33</v>
      </c>
      <c r="I512" s="1">
        <v>8960</v>
      </c>
      <c r="J512" s="1">
        <v>4</v>
      </c>
      <c r="K512" s="1">
        <v>4</v>
      </c>
      <c r="L512" s="1">
        <v>6</v>
      </c>
    </row>
    <row r="513" spans="1:12" x14ac:dyDescent="0.25">
      <c r="A513" s="1" t="s">
        <v>122</v>
      </c>
      <c r="B513" s="1" t="s">
        <v>615</v>
      </c>
      <c r="C513" s="1" t="s">
        <v>622</v>
      </c>
      <c r="D513" s="1" t="s">
        <v>637</v>
      </c>
      <c r="E513" s="1">
        <v>57</v>
      </c>
      <c r="F513" s="1" t="s">
        <v>642</v>
      </c>
      <c r="G513" s="1">
        <v>0</v>
      </c>
      <c r="H513" s="1">
        <v>35</v>
      </c>
      <c r="I513" s="1">
        <v>8870</v>
      </c>
      <c r="J513" s="1">
        <v>5</v>
      </c>
      <c r="K513" s="1">
        <v>3</v>
      </c>
      <c r="L513" s="1">
        <v>17</v>
      </c>
    </row>
    <row r="514" spans="1:12" x14ac:dyDescent="0.25">
      <c r="A514" s="1" t="s">
        <v>177</v>
      </c>
      <c r="B514" s="1" t="s">
        <v>616</v>
      </c>
      <c r="C514" s="1" t="s">
        <v>635</v>
      </c>
      <c r="D514" s="1" t="s">
        <v>638</v>
      </c>
      <c r="E514" s="1">
        <v>53</v>
      </c>
      <c r="F514" s="1" t="s">
        <v>639</v>
      </c>
      <c r="G514" s="1">
        <v>0</v>
      </c>
      <c r="H514" s="1">
        <v>33</v>
      </c>
      <c r="I514" s="1">
        <v>8800</v>
      </c>
      <c r="J514" s="1">
        <v>3</v>
      </c>
      <c r="K514" s="1">
        <v>3</v>
      </c>
      <c r="L514" s="1">
        <v>14</v>
      </c>
    </row>
    <row r="515" spans="1:12" x14ac:dyDescent="0.25">
      <c r="A515" s="1" t="s">
        <v>213</v>
      </c>
      <c r="B515" s="1" t="s">
        <v>615</v>
      </c>
      <c r="C515" s="1" t="s">
        <v>622</v>
      </c>
      <c r="D515" s="1" t="s">
        <v>637</v>
      </c>
      <c r="E515" s="1">
        <v>59</v>
      </c>
      <c r="F515" s="1" t="s">
        <v>639</v>
      </c>
      <c r="G515" s="1">
        <v>0</v>
      </c>
      <c r="H515" s="1">
        <v>32</v>
      </c>
      <c r="I515" s="1">
        <v>8800</v>
      </c>
      <c r="J515" s="1">
        <v>3</v>
      </c>
      <c r="K515" s="1">
        <v>2</v>
      </c>
      <c r="L515" s="1">
        <v>7</v>
      </c>
    </row>
    <row r="516" spans="1:12" x14ac:dyDescent="0.25">
      <c r="A516" s="1" t="s">
        <v>289</v>
      </c>
      <c r="B516" s="1" t="s">
        <v>615</v>
      </c>
      <c r="C516" s="1" t="s">
        <v>622</v>
      </c>
      <c r="D516" s="1" t="s">
        <v>637</v>
      </c>
      <c r="E516" s="1">
        <v>52</v>
      </c>
      <c r="F516" s="1" t="s">
        <v>639</v>
      </c>
      <c r="G516" s="1">
        <v>0</v>
      </c>
      <c r="H516" s="1">
        <v>32</v>
      </c>
      <c r="I516" s="1">
        <v>8800</v>
      </c>
      <c r="J516" s="1">
        <v>4</v>
      </c>
      <c r="K516" s="1">
        <v>4</v>
      </c>
      <c r="L516" s="1">
        <v>13</v>
      </c>
    </row>
    <row r="517" spans="1:12" x14ac:dyDescent="0.25">
      <c r="A517" s="1" t="s">
        <v>568</v>
      </c>
      <c r="B517" s="1" t="s">
        <v>615</v>
      </c>
      <c r="C517" s="1" t="s">
        <v>622</v>
      </c>
      <c r="D517" s="1" t="s">
        <v>638</v>
      </c>
      <c r="E517" s="1">
        <v>57</v>
      </c>
      <c r="F517" s="1" t="s">
        <v>642</v>
      </c>
      <c r="G517" s="1">
        <v>0</v>
      </c>
      <c r="H517" s="1">
        <v>35</v>
      </c>
      <c r="I517" s="1">
        <v>8610</v>
      </c>
      <c r="J517" s="1">
        <v>5</v>
      </c>
      <c r="K517" s="1">
        <v>3</v>
      </c>
      <c r="L517" s="1">
        <v>10</v>
      </c>
    </row>
    <row r="518" spans="1:12" x14ac:dyDescent="0.25">
      <c r="A518" s="1" t="s">
        <v>78</v>
      </c>
      <c r="B518" s="1" t="s">
        <v>613</v>
      </c>
      <c r="C518" s="1" t="s">
        <v>623</v>
      </c>
      <c r="D518" s="1" t="s">
        <v>638</v>
      </c>
      <c r="E518" s="1">
        <v>40</v>
      </c>
      <c r="F518" s="1" t="s">
        <v>639</v>
      </c>
      <c r="G518" s="1">
        <v>0</v>
      </c>
      <c r="H518" s="1">
        <v>21</v>
      </c>
      <c r="I518" s="1">
        <v>8400</v>
      </c>
      <c r="J518" s="1">
        <v>2</v>
      </c>
      <c r="K518" s="1">
        <v>3</v>
      </c>
      <c r="L518" s="1">
        <v>15</v>
      </c>
    </row>
    <row r="519" spans="1:12" x14ac:dyDescent="0.25">
      <c r="A519" s="1" t="s">
        <v>259</v>
      </c>
      <c r="B519" s="1" t="s">
        <v>614</v>
      </c>
      <c r="C519" s="1" t="s">
        <v>632</v>
      </c>
      <c r="D519" s="1" t="s">
        <v>637</v>
      </c>
      <c r="E519" s="1">
        <v>37</v>
      </c>
      <c r="F519" s="1" t="s">
        <v>640</v>
      </c>
      <c r="G519" s="1">
        <v>0</v>
      </c>
      <c r="H519" s="1">
        <v>15</v>
      </c>
      <c r="I519" s="1">
        <v>8350</v>
      </c>
      <c r="J519" s="1">
        <v>4</v>
      </c>
      <c r="K519" s="1">
        <v>5</v>
      </c>
      <c r="L519" s="1">
        <v>0</v>
      </c>
    </row>
    <row r="520" spans="1:12" x14ac:dyDescent="0.25">
      <c r="A520" s="1" t="s">
        <v>253</v>
      </c>
      <c r="B520" s="1" t="s">
        <v>617</v>
      </c>
      <c r="C520" s="1" t="s">
        <v>628</v>
      </c>
      <c r="D520" s="1" t="s">
        <v>638</v>
      </c>
      <c r="E520" s="1">
        <v>54</v>
      </c>
      <c r="F520" s="1" t="s">
        <v>639</v>
      </c>
      <c r="G520" s="1">
        <v>0</v>
      </c>
      <c r="H520" s="1">
        <v>31</v>
      </c>
      <c r="I520" s="1">
        <v>8250</v>
      </c>
      <c r="J520" s="1">
        <v>4</v>
      </c>
      <c r="K520" s="1">
        <v>3</v>
      </c>
      <c r="L520" s="1">
        <v>15</v>
      </c>
    </row>
    <row r="521" spans="1:12" x14ac:dyDescent="0.25">
      <c r="A521" s="1" t="s">
        <v>142</v>
      </c>
      <c r="B521" s="1" t="s">
        <v>616</v>
      </c>
      <c r="C521" s="1" t="s">
        <v>635</v>
      </c>
      <c r="D521" s="1" t="s">
        <v>637</v>
      </c>
      <c r="E521" s="1">
        <v>35</v>
      </c>
      <c r="F521" s="1" t="s">
        <v>640</v>
      </c>
      <c r="G521" s="1">
        <v>0</v>
      </c>
      <c r="H521" s="1">
        <v>16</v>
      </c>
      <c r="I521" s="1">
        <v>7730</v>
      </c>
      <c r="J521" s="1">
        <v>3</v>
      </c>
      <c r="K521" s="1">
        <v>3</v>
      </c>
      <c r="L521" s="1">
        <v>16</v>
      </c>
    </row>
    <row r="522" spans="1:12" x14ac:dyDescent="0.25">
      <c r="A522" s="1" t="s">
        <v>23</v>
      </c>
      <c r="B522" s="1" t="s">
        <v>613</v>
      </c>
      <c r="C522" s="1" t="s">
        <v>623</v>
      </c>
      <c r="D522" s="1" t="s">
        <v>637</v>
      </c>
      <c r="E522" s="1">
        <v>48</v>
      </c>
      <c r="F522" s="1" t="s">
        <v>639</v>
      </c>
      <c r="G522" s="1">
        <v>0</v>
      </c>
      <c r="H522" s="1">
        <v>23</v>
      </c>
      <c r="I522" s="1">
        <v>7460</v>
      </c>
      <c r="J522" s="1">
        <v>3</v>
      </c>
      <c r="K522" s="1">
        <v>3</v>
      </c>
      <c r="L522" s="1">
        <v>3</v>
      </c>
    </row>
    <row r="523" spans="1:12" x14ac:dyDescent="0.25">
      <c r="A523" s="1" t="s">
        <v>534</v>
      </c>
      <c r="B523" s="1" t="s">
        <v>613</v>
      </c>
      <c r="C523" s="1" t="s">
        <v>631</v>
      </c>
      <c r="D523" s="1" t="s">
        <v>638</v>
      </c>
      <c r="E523" s="1">
        <v>49</v>
      </c>
      <c r="F523" s="1" t="s">
        <v>639</v>
      </c>
      <c r="G523" s="1">
        <v>0</v>
      </c>
      <c r="H523" s="1">
        <v>25</v>
      </c>
      <c r="I523" s="1">
        <v>7450</v>
      </c>
      <c r="J523" s="1">
        <v>3</v>
      </c>
      <c r="K523" s="1">
        <v>4</v>
      </c>
      <c r="L523" s="1">
        <v>18</v>
      </c>
    </row>
    <row r="524" spans="1:12" x14ac:dyDescent="0.25">
      <c r="A524" s="1" t="s">
        <v>327</v>
      </c>
      <c r="B524" s="1" t="s">
        <v>614</v>
      </c>
      <c r="C524" s="1" t="s">
        <v>632</v>
      </c>
      <c r="D524" s="1" t="s">
        <v>637</v>
      </c>
      <c r="E524" s="1">
        <v>32</v>
      </c>
      <c r="F524" s="1" t="s">
        <v>639</v>
      </c>
      <c r="G524" s="1">
        <v>0</v>
      </c>
      <c r="H524" s="1">
        <v>4</v>
      </c>
      <c r="I524" s="1">
        <v>7360</v>
      </c>
      <c r="J524" s="1">
        <v>4</v>
      </c>
      <c r="K524" s="1">
        <v>3</v>
      </c>
      <c r="L524" s="1">
        <v>7</v>
      </c>
    </row>
    <row r="525" spans="1:12" x14ac:dyDescent="0.25">
      <c r="A525" s="1" t="s">
        <v>602</v>
      </c>
      <c r="B525" s="1" t="s">
        <v>617</v>
      </c>
      <c r="C525" s="1" t="s">
        <v>627</v>
      </c>
      <c r="D525" s="1" t="s">
        <v>638</v>
      </c>
      <c r="E525" s="1">
        <v>40</v>
      </c>
      <c r="F525" s="1" t="s">
        <v>642</v>
      </c>
      <c r="G525" s="1">
        <v>0</v>
      </c>
      <c r="H525" s="1">
        <v>19</v>
      </c>
      <c r="I525" s="1">
        <v>7290</v>
      </c>
      <c r="J525" s="1">
        <v>2</v>
      </c>
      <c r="K525" s="1">
        <v>3</v>
      </c>
      <c r="L525" s="1">
        <v>24</v>
      </c>
    </row>
    <row r="526" spans="1:12" x14ac:dyDescent="0.25">
      <c r="A526" s="1" t="s">
        <v>318</v>
      </c>
      <c r="B526" s="1" t="s">
        <v>613</v>
      </c>
      <c r="C526" s="1" t="s">
        <v>620</v>
      </c>
      <c r="D526" s="1" t="s">
        <v>638</v>
      </c>
      <c r="E526" s="1">
        <v>52</v>
      </c>
      <c r="F526" s="1" t="s">
        <v>639</v>
      </c>
      <c r="G526" s="1">
        <v>0</v>
      </c>
      <c r="H526" s="1">
        <v>30</v>
      </c>
      <c r="I526" s="1">
        <v>7280</v>
      </c>
      <c r="J526" s="1">
        <v>5</v>
      </c>
      <c r="K526" s="1">
        <v>2</v>
      </c>
      <c r="L526" s="1">
        <v>18</v>
      </c>
    </row>
    <row r="527" spans="1:12" x14ac:dyDescent="0.25">
      <c r="A527" s="1" t="s">
        <v>46</v>
      </c>
      <c r="B527" s="1" t="s">
        <v>614</v>
      </c>
      <c r="C527" s="1" t="s">
        <v>632</v>
      </c>
      <c r="D527" s="1" t="s">
        <v>638</v>
      </c>
      <c r="E527" s="1">
        <v>25</v>
      </c>
      <c r="F527" s="1" t="s">
        <v>640</v>
      </c>
      <c r="G527" s="1">
        <v>0</v>
      </c>
      <c r="H527" s="1">
        <v>1</v>
      </c>
      <c r="I527" s="1">
        <v>7100</v>
      </c>
      <c r="J527" s="1">
        <v>4</v>
      </c>
      <c r="K527" s="1">
        <v>3</v>
      </c>
      <c r="L527" s="1">
        <v>14</v>
      </c>
    </row>
    <row r="528" spans="1:12" x14ac:dyDescent="0.25">
      <c r="A528" s="1" t="s">
        <v>164</v>
      </c>
      <c r="B528" s="1" t="s">
        <v>612</v>
      </c>
      <c r="C528" s="1" t="s">
        <v>630</v>
      </c>
      <c r="D528" s="1" t="s">
        <v>637</v>
      </c>
      <c r="E528" s="1">
        <v>30</v>
      </c>
      <c r="F528" s="1" t="s">
        <v>639</v>
      </c>
      <c r="G528" s="1">
        <v>0</v>
      </c>
      <c r="H528" s="1">
        <v>1</v>
      </c>
      <c r="I528" s="1">
        <v>6920</v>
      </c>
      <c r="J528" s="1">
        <v>3</v>
      </c>
      <c r="K528" s="1">
        <v>4</v>
      </c>
      <c r="L528" s="1">
        <v>1</v>
      </c>
    </row>
    <row r="529" spans="1:12" x14ac:dyDescent="0.25">
      <c r="A529" s="1" t="s">
        <v>540</v>
      </c>
      <c r="B529" s="1" t="s">
        <v>612</v>
      </c>
      <c r="C529" s="1" t="s">
        <v>618</v>
      </c>
      <c r="D529" s="1" t="s">
        <v>637</v>
      </c>
      <c r="E529" s="1">
        <v>41</v>
      </c>
      <c r="F529" s="1" t="s">
        <v>639</v>
      </c>
      <c r="G529" s="1">
        <v>0</v>
      </c>
      <c r="H529" s="1">
        <v>23</v>
      </c>
      <c r="I529" s="1">
        <v>6880</v>
      </c>
      <c r="J529" s="1">
        <v>3</v>
      </c>
      <c r="K529" s="1">
        <v>3</v>
      </c>
      <c r="L529" s="1">
        <v>8</v>
      </c>
    </row>
    <row r="530" spans="1:12" x14ac:dyDescent="0.25">
      <c r="A530" s="1" t="s">
        <v>358</v>
      </c>
      <c r="B530" s="1" t="s">
        <v>614</v>
      </c>
      <c r="C530" s="1" t="s">
        <v>626</v>
      </c>
      <c r="D530" s="1" t="s">
        <v>637</v>
      </c>
      <c r="E530" s="1">
        <v>40</v>
      </c>
      <c r="F530" s="1" t="s">
        <v>639</v>
      </c>
      <c r="G530" s="1">
        <v>0</v>
      </c>
      <c r="H530" s="1">
        <v>15</v>
      </c>
      <c r="I530" s="1">
        <v>6830</v>
      </c>
      <c r="J530" s="1">
        <v>4</v>
      </c>
      <c r="K530" s="1">
        <v>2</v>
      </c>
      <c r="L530" s="1">
        <v>13</v>
      </c>
    </row>
    <row r="531" spans="1:12" x14ac:dyDescent="0.25">
      <c r="A531" s="1" t="s">
        <v>339</v>
      </c>
      <c r="B531" s="1" t="s">
        <v>612</v>
      </c>
      <c r="C531" s="1" t="s">
        <v>630</v>
      </c>
      <c r="D531" s="1" t="s">
        <v>637</v>
      </c>
      <c r="E531" s="1">
        <v>31</v>
      </c>
      <c r="F531" s="1" t="s">
        <v>639</v>
      </c>
      <c r="G531" s="1">
        <v>0</v>
      </c>
      <c r="H531" s="1">
        <v>13</v>
      </c>
      <c r="I531" s="1">
        <v>6750</v>
      </c>
      <c r="J531" s="1">
        <v>2</v>
      </c>
      <c r="K531" s="1">
        <v>1</v>
      </c>
      <c r="L531" s="1">
        <v>12</v>
      </c>
    </row>
    <row r="532" spans="1:12" x14ac:dyDescent="0.25">
      <c r="A532" s="1" t="s">
        <v>609</v>
      </c>
      <c r="B532" s="1" t="s">
        <v>614</v>
      </c>
      <c r="C532" s="1" t="s">
        <v>632</v>
      </c>
      <c r="D532" s="1" t="s">
        <v>637</v>
      </c>
      <c r="E532" s="1">
        <v>26</v>
      </c>
      <c r="F532" s="1" t="s">
        <v>640</v>
      </c>
      <c r="G532" s="1">
        <v>0</v>
      </c>
      <c r="H532" s="1">
        <v>0</v>
      </c>
      <c r="I532" s="1">
        <v>6730</v>
      </c>
      <c r="J532" s="1">
        <v>1</v>
      </c>
      <c r="K532" s="1">
        <v>3</v>
      </c>
      <c r="L532" s="1">
        <v>3</v>
      </c>
    </row>
    <row r="533" spans="1:12" x14ac:dyDescent="0.25">
      <c r="A533" s="1" t="s">
        <v>536</v>
      </c>
      <c r="B533" s="1" t="s">
        <v>614</v>
      </c>
      <c r="C533" s="1" t="s">
        <v>633</v>
      </c>
      <c r="D533" s="1" t="s">
        <v>638</v>
      </c>
      <c r="E533" s="1">
        <v>22</v>
      </c>
      <c r="F533" s="1" t="s">
        <v>640</v>
      </c>
      <c r="G533" s="1">
        <v>0</v>
      </c>
      <c r="H533" s="1">
        <v>0</v>
      </c>
      <c r="I533" s="1">
        <v>6680</v>
      </c>
      <c r="J533" s="1">
        <v>5</v>
      </c>
      <c r="K533" s="1">
        <v>4</v>
      </c>
      <c r="L533" s="1">
        <v>19</v>
      </c>
    </row>
    <row r="534" spans="1:12" x14ac:dyDescent="0.25">
      <c r="A534" s="1" t="s">
        <v>596</v>
      </c>
      <c r="B534" s="1" t="s">
        <v>614</v>
      </c>
      <c r="C534" s="1" t="s">
        <v>632</v>
      </c>
      <c r="D534" s="1" t="s">
        <v>638</v>
      </c>
      <c r="E534" s="1">
        <v>21</v>
      </c>
      <c r="F534" s="1" t="s">
        <v>639</v>
      </c>
      <c r="G534" s="1">
        <v>0</v>
      </c>
      <c r="H534" s="1">
        <v>0</v>
      </c>
      <c r="I534" s="1">
        <v>6530</v>
      </c>
      <c r="J534" s="1">
        <v>2</v>
      </c>
      <c r="K534" s="1">
        <v>2</v>
      </c>
      <c r="L534" s="1">
        <v>16</v>
      </c>
    </row>
    <row r="535" spans="1:12" x14ac:dyDescent="0.25">
      <c r="A535" s="1" t="s">
        <v>181</v>
      </c>
      <c r="B535" s="1" t="s">
        <v>616</v>
      </c>
      <c r="C535" s="1" t="s">
        <v>624</v>
      </c>
      <c r="D535" s="1" t="s">
        <v>638</v>
      </c>
      <c r="E535" s="1">
        <v>48</v>
      </c>
      <c r="F535" s="1" t="s">
        <v>639</v>
      </c>
      <c r="G535" s="1">
        <v>0</v>
      </c>
      <c r="H535" s="1">
        <v>27</v>
      </c>
      <c r="I535" s="1">
        <v>6500</v>
      </c>
      <c r="J535" s="1">
        <v>4</v>
      </c>
      <c r="K535" s="1">
        <v>3</v>
      </c>
      <c r="L535" s="1">
        <v>16</v>
      </c>
    </row>
    <row r="536" spans="1:12" x14ac:dyDescent="0.25">
      <c r="A536" s="1" t="s">
        <v>361</v>
      </c>
      <c r="B536" s="1" t="s">
        <v>616</v>
      </c>
      <c r="C536" s="1" t="s">
        <v>635</v>
      </c>
      <c r="D536" s="1" t="s">
        <v>637</v>
      </c>
      <c r="E536" s="1">
        <v>30</v>
      </c>
      <c r="F536" s="1" t="s">
        <v>639</v>
      </c>
      <c r="G536" s="1">
        <v>0</v>
      </c>
      <c r="H536" s="1">
        <v>5</v>
      </c>
      <c r="I536" s="1">
        <v>6480</v>
      </c>
      <c r="J536" s="1">
        <v>2</v>
      </c>
      <c r="K536" s="1">
        <v>3</v>
      </c>
      <c r="L536" s="1">
        <v>21</v>
      </c>
    </row>
    <row r="537" spans="1:12" x14ac:dyDescent="0.25">
      <c r="A537" s="1" t="s">
        <v>416</v>
      </c>
      <c r="B537" s="1" t="s">
        <v>613</v>
      </c>
      <c r="C537" s="1" t="s">
        <v>620</v>
      </c>
      <c r="D537" s="1" t="s">
        <v>637</v>
      </c>
      <c r="E537" s="1">
        <v>36</v>
      </c>
      <c r="F537" s="1" t="s">
        <v>640</v>
      </c>
      <c r="G537" s="1">
        <v>0</v>
      </c>
      <c r="H537" s="1">
        <v>11</v>
      </c>
      <c r="I537" s="1">
        <v>6260</v>
      </c>
      <c r="J537" s="1">
        <v>3</v>
      </c>
      <c r="K537" s="1">
        <v>4</v>
      </c>
      <c r="L537" s="1">
        <v>23</v>
      </c>
    </row>
    <row r="538" spans="1:12" x14ac:dyDescent="0.25">
      <c r="A538" s="1" t="s">
        <v>302</v>
      </c>
      <c r="B538" s="1" t="s">
        <v>614</v>
      </c>
      <c r="C538" s="1" t="s">
        <v>626</v>
      </c>
      <c r="D538" s="1" t="s">
        <v>637</v>
      </c>
      <c r="E538" s="1">
        <v>41</v>
      </c>
      <c r="F538" s="1" t="s">
        <v>639</v>
      </c>
      <c r="G538" s="1">
        <v>0</v>
      </c>
      <c r="H538" s="1">
        <v>20</v>
      </c>
      <c r="I538" s="1">
        <v>6250</v>
      </c>
      <c r="J538" s="1">
        <v>5</v>
      </c>
      <c r="K538" s="1">
        <v>4</v>
      </c>
      <c r="L538" s="1">
        <v>11</v>
      </c>
    </row>
    <row r="539" spans="1:12" x14ac:dyDescent="0.25">
      <c r="A539" s="1" t="s">
        <v>421</v>
      </c>
      <c r="B539" s="1" t="s">
        <v>613</v>
      </c>
      <c r="C539" s="1" t="s">
        <v>623</v>
      </c>
      <c r="D539" s="1" t="s">
        <v>638</v>
      </c>
      <c r="E539" s="1">
        <v>21</v>
      </c>
      <c r="F539" s="1" t="s">
        <v>639</v>
      </c>
      <c r="G539" s="1">
        <v>0</v>
      </c>
      <c r="H539" s="1">
        <v>0</v>
      </c>
      <c r="I539" s="1">
        <v>6200</v>
      </c>
      <c r="J539" s="1">
        <v>3</v>
      </c>
      <c r="K539" s="1">
        <v>2</v>
      </c>
      <c r="L539" s="1">
        <v>18</v>
      </c>
    </row>
    <row r="540" spans="1:12" x14ac:dyDescent="0.25">
      <c r="A540" s="1" t="s">
        <v>270</v>
      </c>
      <c r="B540" s="1" t="s">
        <v>616</v>
      </c>
      <c r="C540" s="1" t="s">
        <v>636</v>
      </c>
      <c r="D540" s="1" t="s">
        <v>638</v>
      </c>
      <c r="E540" s="1">
        <v>21</v>
      </c>
      <c r="F540" s="1" t="s">
        <v>640</v>
      </c>
      <c r="G540" s="1">
        <v>0</v>
      </c>
      <c r="H540" s="1">
        <v>0</v>
      </c>
      <c r="I540" s="1">
        <v>6010</v>
      </c>
      <c r="J540" s="1">
        <v>5</v>
      </c>
      <c r="K540" s="1">
        <v>3</v>
      </c>
      <c r="L540" s="1">
        <v>5</v>
      </c>
    </row>
    <row r="541" spans="1:12" x14ac:dyDescent="0.25">
      <c r="A541" s="1" t="s">
        <v>315</v>
      </c>
      <c r="B541" s="1" t="s">
        <v>613</v>
      </c>
      <c r="C541" s="1" t="s">
        <v>623</v>
      </c>
      <c r="D541" s="1" t="s">
        <v>637</v>
      </c>
      <c r="E541" s="1">
        <v>26</v>
      </c>
      <c r="F541" s="1" t="s">
        <v>640</v>
      </c>
      <c r="G541" s="1">
        <v>0</v>
      </c>
      <c r="H541" s="1">
        <v>0</v>
      </c>
      <c r="I541" s="1">
        <v>5990</v>
      </c>
      <c r="J541" s="1">
        <v>3</v>
      </c>
      <c r="K541" s="1">
        <v>1</v>
      </c>
      <c r="L541" s="1">
        <v>28</v>
      </c>
    </row>
    <row r="542" spans="1:12" x14ac:dyDescent="0.25">
      <c r="A542" s="1" t="s">
        <v>334</v>
      </c>
      <c r="B542" s="1" t="s">
        <v>615</v>
      </c>
      <c r="C542" s="1" t="s">
        <v>625</v>
      </c>
      <c r="D542" s="1" t="s">
        <v>638</v>
      </c>
      <c r="E542" s="1">
        <v>27</v>
      </c>
      <c r="F542" s="1" t="s">
        <v>640</v>
      </c>
      <c r="G542" s="1">
        <v>0</v>
      </c>
      <c r="H542" s="1">
        <v>2</v>
      </c>
      <c r="I542" s="1">
        <v>5990</v>
      </c>
      <c r="J542" s="1">
        <v>4</v>
      </c>
      <c r="K542" s="1">
        <v>4</v>
      </c>
      <c r="L542" s="1">
        <v>19</v>
      </c>
    </row>
    <row r="543" spans="1:12" x14ac:dyDescent="0.25">
      <c r="A543" s="1" t="s">
        <v>26</v>
      </c>
      <c r="B543" s="1" t="s">
        <v>613</v>
      </c>
      <c r="C543" s="1" t="s">
        <v>623</v>
      </c>
      <c r="D543" s="1" t="s">
        <v>637</v>
      </c>
      <c r="E543" s="1">
        <v>24</v>
      </c>
      <c r="F543" s="1" t="s">
        <v>639</v>
      </c>
      <c r="G543" s="1">
        <v>0</v>
      </c>
      <c r="H543" s="1">
        <v>0</v>
      </c>
      <c r="I543" s="1">
        <v>5960</v>
      </c>
      <c r="J543" s="1">
        <v>3</v>
      </c>
      <c r="K543" s="1">
        <v>5</v>
      </c>
      <c r="L543" s="1">
        <v>6</v>
      </c>
    </row>
    <row r="544" spans="1:12" x14ac:dyDescent="0.25">
      <c r="A544" s="1" t="s">
        <v>146</v>
      </c>
      <c r="B544" s="1" t="s">
        <v>614</v>
      </c>
      <c r="C544" s="1" t="s">
        <v>632</v>
      </c>
      <c r="D544" s="1" t="s">
        <v>638</v>
      </c>
      <c r="E544" s="1">
        <v>22</v>
      </c>
      <c r="F544" s="1" t="s">
        <v>639</v>
      </c>
      <c r="G544" s="1">
        <v>0</v>
      </c>
      <c r="H544" s="1">
        <v>0</v>
      </c>
      <c r="I544" s="1">
        <v>5960</v>
      </c>
      <c r="J544" s="1">
        <v>4</v>
      </c>
      <c r="K544" s="1">
        <v>1</v>
      </c>
      <c r="L544" s="1">
        <v>0</v>
      </c>
    </row>
    <row r="545" spans="1:12" x14ac:dyDescent="0.25">
      <c r="A545" s="1" t="s">
        <v>299</v>
      </c>
      <c r="B545" s="1" t="s">
        <v>613</v>
      </c>
      <c r="C545" s="1" t="s">
        <v>623</v>
      </c>
      <c r="D545" s="1" t="s">
        <v>637</v>
      </c>
      <c r="E545" s="1">
        <v>24</v>
      </c>
      <c r="F545" s="1" t="s">
        <v>639</v>
      </c>
      <c r="G545" s="1">
        <v>0</v>
      </c>
      <c r="H545" s="1">
        <v>0</v>
      </c>
      <c r="I545" s="1">
        <v>5930</v>
      </c>
      <c r="J545" s="1">
        <v>3</v>
      </c>
      <c r="K545" s="1">
        <v>3</v>
      </c>
      <c r="L545" s="1">
        <v>13</v>
      </c>
    </row>
    <row r="546" spans="1:12" x14ac:dyDescent="0.25">
      <c r="A546" s="1" t="s">
        <v>36</v>
      </c>
      <c r="B546" s="1" t="s">
        <v>614</v>
      </c>
      <c r="C546" s="1" t="s">
        <v>632</v>
      </c>
      <c r="D546" s="1" t="s">
        <v>637</v>
      </c>
      <c r="E546" s="1">
        <v>23</v>
      </c>
      <c r="F546" s="1" t="s">
        <v>639</v>
      </c>
      <c r="G546" s="1">
        <v>0</v>
      </c>
      <c r="H546" s="1">
        <v>0</v>
      </c>
      <c r="I546" s="1">
        <v>5830</v>
      </c>
      <c r="J546" s="1">
        <v>3</v>
      </c>
      <c r="K546" s="1">
        <v>3</v>
      </c>
      <c r="L546" s="1">
        <v>20</v>
      </c>
    </row>
    <row r="547" spans="1:12" x14ac:dyDescent="0.25">
      <c r="A547" s="1" t="s">
        <v>248</v>
      </c>
      <c r="B547" s="1" t="s">
        <v>612</v>
      </c>
      <c r="C547" s="1" t="s">
        <v>618</v>
      </c>
      <c r="D547" s="1" t="s">
        <v>637</v>
      </c>
      <c r="E547" s="1">
        <v>27</v>
      </c>
      <c r="F547" s="1" t="s">
        <v>639</v>
      </c>
      <c r="G547" s="1">
        <v>0</v>
      </c>
      <c r="H547" s="1">
        <v>6</v>
      </c>
      <c r="I547" s="1">
        <v>5820</v>
      </c>
      <c r="J547" s="1">
        <v>3</v>
      </c>
      <c r="K547" s="1">
        <v>2</v>
      </c>
      <c r="L547" s="1">
        <v>20</v>
      </c>
    </row>
    <row r="548" spans="1:12" x14ac:dyDescent="0.25">
      <c r="A548" s="1" t="s">
        <v>414</v>
      </c>
      <c r="B548" s="1" t="s">
        <v>613</v>
      </c>
      <c r="C548" s="1" t="s">
        <v>623</v>
      </c>
      <c r="D548" s="1" t="s">
        <v>638</v>
      </c>
      <c r="E548" s="1">
        <v>22</v>
      </c>
      <c r="F548" s="1" t="s">
        <v>639</v>
      </c>
      <c r="G548" s="1">
        <v>0</v>
      </c>
      <c r="H548" s="1">
        <v>0</v>
      </c>
      <c r="I548" s="1">
        <v>5790</v>
      </c>
      <c r="J548" s="1">
        <v>3</v>
      </c>
      <c r="K548" s="1">
        <v>1</v>
      </c>
      <c r="L548" s="1">
        <v>19</v>
      </c>
    </row>
    <row r="549" spans="1:12" x14ac:dyDescent="0.25">
      <c r="A549" s="1" t="s">
        <v>483</v>
      </c>
      <c r="B549" s="1" t="s">
        <v>615</v>
      </c>
      <c r="C549" s="1" t="s">
        <v>625</v>
      </c>
      <c r="D549" s="1" t="s">
        <v>637</v>
      </c>
      <c r="E549" s="1">
        <v>21</v>
      </c>
      <c r="F549" s="1" t="s">
        <v>639</v>
      </c>
      <c r="G549" s="1">
        <v>0</v>
      </c>
      <c r="H549" s="1">
        <v>0</v>
      </c>
      <c r="I549" s="1">
        <v>5790</v>
      </c>
      <c r="J549" s="1">
        <v>3</v>
      </c>
      <c r="K549" s="1">
        <v>4</v>
      </c>
      <c r="L549" s="1">
        <v>7</v>
      </c>
    </row>
    <row r="550" spans="1:12" x14ac:dyDescent="0.25">
      <c r="A550" s="1" t="s">
        <v>381</v>
      </c>
      <c r="B550" s="1" t="s">
        <v>612</v>
      </c>
      <c r="C550" s="1" t="s">
        <v>630</v>
      </c>
      <c r="D550" s="1" t="s">
        <v>638</v>
      </c>
      <c r="E550" s="1">
        <v>21</v>
      </c>
      <c r="F550" s="1" t="s">
        <v>640</v>
      </c>
      <c r="G550" s="1">
        <v>0</v>
      </c>
      <c r="H550" s="1">
        <v>0</v>
      </c>
      <c r="I550" s="1">
        <v>5770</v>
      </c>
      <c r="J550" s="1">
        <v>4</v>
      </c>
      <c r="K550" s="1">
        <v>4</v>
      </c>
      <c r="L550" s="1">
        <v>14</v>
      </c>
    </row>
    <row r="551" spans="1:12" x14ac:dyDescent="0.25">
      <c r="A551" s="1" t="s">
        <v>209</v>
      </c>
      <c r="B551" s="1" t="s">
        <v>614</v>
      </c>
      <c r="C551" s="1" t="s">
        <v>633</v>
      </c>
      <c r="D551" s="1" t="s">
        <v>637</v>
      </c>
      <c r="E551" s="1">
        <v>26</v>
      </c>
      <c r="F551" s="1" t="s">
        <v>640</v>
      </c>
      <c r="G551" s="1">
        <v>0</v>
      </c>
      <c r="H551" s="1">
        <v>0</v>
      </c>
      <c r="I551" s="1">
        <v>5760</v>
      </c>
      <c r="J551" s="1">
        <v>3</v>
      </c>
      <c r="K551" s="1">
        <v>3</v>
      </c>
      <c r="L551" s="1">
        <v>7</v>
      </c>
    </row>
    <row r="552" spans="1:12" x14ac:dyDescent="0.25">
      <c r="A552" s="1" t="s">
        <v>15</v>
      </c>
      <c r="B552" s="1" t="s">
        <v>614</v>
      </c>
      <c r="C552" s="1" t="s">
        <v>621</v>
      </c>
      <c r="D552" s="1" t="s">
        <v>637</v>
      </c>
      <c r="E552" s="1">
        <v>22</v>
      </c>
      <c r="F552" s="1" t="s">
        <v>639</v>
      </c>
      <c r="G552" s="1">
        <v>0</v>
      </c>
      <c r="H552" s="1">
        <v>0</v>
      </c>
      <c r="I552" s="1">
        <v>5690</v>
      </c>
      <c r="J552" s="1">
        <v>1</v>
      </c>
      <c r="K552" s="1">
        <v>5</v>
      </c>
      <c r="L552" s="1">
        <v>3</v>
      </c>
    </row>
    <row r="553" spans="1:12" x14ac:dyDescent="0.25">
      <c r="A553" s="1" t="s">
        <v>240</v>
      </c>
      <c r="B553" s="1" t="s">
        <v>616</v>
      </c>
      <c r="C553" s="1" t="s">
        <v>636</v>
      </c>
      <c r="D553" s="1" t="s">
        <v>638</v>
      </c>
      <c r="E553" s="1">
        <v>21</v>
      </c>
      <c r="F553" s="1" t="s">
        <v>640</v>
      </c>
      <c r="G553" s="1">
        <v>0</v>
      </c>
      <c r="H553" s="1">
        <v>0</v>
      </c>
      <c r="I553" s="1">
        <v>5670</v>
      </c>
      <c r="J553" s="1">
        <v>3</v>
      </c>
      <c r="K553" s="1">
        <v>4</v>
      </c>
      <c r="L553" s="1">
        <v>15</v>
      </c>
    </row>
    <row r="554" spans="1:12" x14ac:dyDescent="0.25">
      <c r="A554" s="1" t="s">
        <v>554</v>
      </c>
      <c r="B554" s="1" t="s">
        <v>614</v>
      </c>
      <c r="C554" s="1" t="s">
        <v>633</v>
      </c>
      <c r="D554" s="1" t="s">
        <v>637</v>
      </c>
      <c r="E554" s="1">
        <v>28</v>
      </c>
      <c r="F554" s="1" t="s">
        <v>639</v>
      </c>
      <c r="G554" s="1">
        <v>0</v>
      </c>
      <c r="H554" s="1">
        <v>2</v>
      </c>
      <c r="I554" s="1">
        <v>5660</v>
      </c>
      <c r="J554" s="1">
        <v>4</v>
      </c>
      <c r="K554" s="1">
        <v>2</v>
      </c>
      <c r="L554" s="1">
        <v>10</v>
      </c>
    </row>
    <row r="555" spans="1:12" x14ac:dyDescent="0.25">
      <c r="A555" s="1" t="s">
        <v>306</v>
      </c>
      <c r="B555" s="1" t="s">
        <v>616</v>
      </c>
      <c r="C555" s="1" t="s">
        <v>636</v>
      </c>
      <c r="D555" s="1" t="s">
        <v>638</v>
      </c>
      <c r="E555" s="1">
        <v>24</v>
      </c>
      <c r="F555" s="1" t="s">
        <v>639</v>
      </c>
      <c r="G555" s="1">
        <v>0</v>
      </c>
      <c r="H555" s="1">
        <v>0</v>
      </c>
      <c r="I555" s="1">
        <v>5650</v>
      </c>
      <c r="J555" s="1">
        <v>3</v>
      </c>
      <c r="K555" s="1">
        <v>3</v>
      </c>
      <c r="L555" s="1">
        <v>23</v>
      </c>
    </row>
    <row r="556" spans="1:12" x14ac:dyDescent="0.25">
      <c r="A556" s="1" t="s">
        <v>559</v>
      </c>
      <c r="B556" s="1" t="s">
        <v>612</v>
      </c>
      <c r="C556" s="1" t="s">
        <v>630</v>
      </c>
      <c r="D556" s="1" t="s">
        <v>637</v>
      </c>
      <c r="E556" s="1">
        <v>21</v>
      </c>
      <c r="F556" s="1" t="s">
        <v>639</v>
      </c>
      <c r="G556" s="1">
        <v>0</v>
      </c>
      <c r="H556" s="1">
        <v>0</v>
      </c>
      <c r="I556" s="1">
        <v>5640</v>
      </c>
      <c r="J556" s="1">
        <v>4</v>
      </c>
      <c r="K556" s="1">
        <v>4</v>
      </c>
      <c r="L556" s="1">
        <v>7</v>
      </c>
    </row>
    <row r="557" spans="1:12" x14ac:dyDescent="0.25">
      <c r="A557" s="1" t="s">
        <v>245</v>
      </c>
      <c r="B557" s="1" t="s">
        <v>612</v>
      </c>
      <c r="C557" s="1" t="s">
        <v>630</v>
      </c>
      <c r="D557" s="1" t="s">
        <v>638</v>
      </c>
      <c r="E557" s="1">
        <v>21</v>
      </c>
      <c r="F557" s="1" t="s">
        <v>639</v>
      </c>
      <c r="G557" s="1">
        <v>0</v>
      </c>
      <c r="H557" s="1">
        <v>0</v>
      </c>
      <c r="I557" s="1">
        <v>5610</v>
      </c>
      <c r="J557" s="1">
        <v>4</v>
      </c>
      <c r="K557" s="1">
        <v>2</v>
      </c>
      <c r="L557" s="1">
        <v>0</v>
      </c>
    </row>
    <row r="558" spans="1:12" x14ac:dyDescent="0.25">
      <c r="A558" s="1" t="s">
        <v>455</v>
      </c>
      <c r="B558" s="1" t="s">
        <v>616</v>
      </c>
      <c r="C558" s="1" t="s">
        <v>636</v>
      </c>
      <c r="D558" s="1" t="s">
        <v>638</v>
      </c>
      <c r="E558" s="1">
        <v>21</v>
      </c>
      <c r="F558" s="1" t="s">
        <v>642</v>
      </c>
      <c r="G558" s="1">
        <v>0</v>
      </c>
      <c r="H558" s="1">
        <v>0</v>
      </c>
      <c r="I558" s="1">
        <v>5610</v>
      </c>
      <c r="J558" s="1">
        <v>5</v>
      </c>
      <c r="K558" s="1">
        <v>4</v>
      </c>
      <c r="L558" s="1">
        <v>18</v>
      </c>
    </row>
    <row r="559" spans="1:12" x14ac:dyDescent="0.25">
      <c r="A559" s="1" t="s">
        <v>250</v>
      </c>
      <c r="B559" s="1" t="s">
        <v>613</v>
      </c>
      <c r="C559" s="1" t="s">
        <v>623</v>
      </c>
      <c r="D559" s="1" t="s">
        <v>638</v>
      </c>
      <c r="E559" s="1">
        <v>23</v>
      </c>
      <c r="F559" s="1" t="s">
        <v>642</v>
      </c>
      <c r="G559" s="1">
        <v>0</v>
      </c>
      <c r="H559" s="1">
        <v>0</v>
      </c>
      <c r="I559" s="1">
        <v>5560</v>
      </c>
      <c r="J559" s="1">
        <v>3</v>
      </c>
      <c r="K559" s="1">
        <v>1</v>
      </c>
      <c r="L559" s="1">
        <v>7</v>
      </c>
    </row>
    <row r="560" spans="1:12" x14ac:dyDescent="0.25">
      <c r="A560" s="1" t="s">
        <v>325</v>
      </c>
      <c r="B560" s="1" t="s">
        <v>614</v>
      </c>
      <c r="C560" s="1" t="s">
        <v>633</v>
      </c>
      <c r="D560" s="1" t="s">
        <v>637</v>
      </c>
      <c r="E560" s="1">
        <v>24</v>
      </c>
      <c r="F560" s="1" t="s">
        <v>639</v>
      </c>
      <c r="G560" s="1">
        <v>0</v>
      </c>
      <c r="H560" s="1">
        <v>1</v>
      </c>
      <c r="I560" s="1">
        <v>5560</v>
      </c>
      <c r="J560" s="1">
        <v>4</v>
      </c>
      <c r="K560" s="1">
        <v>3</v>
      </c>
      <c r="L560" s="1">
        <v>20</v>
      </c>
    </row>
    <row r="561" spans="1:12" x14ac:dyDescent="0.25">
      <c r="A561" s="1" t="s">
        <v>369</v>
      </c>
      <c r="B561" s="1" t="s">
        <v>612</v>
      </c>
      <c r="C561" s="1" t="s">
        <v>618</v>
      </c>
      <c r="D561" s="1" t="s">
        <v>637</v>
      </c>
      <c r="E561" s="1">
        <v>40</v>
      </c>
      <c r="F561" s="1" t="s">
        <v>639</v>
      </c>
      <c r="G561" s="1">
        <v>0</v>
      </c>
      <c r="H561" s="1">
        <v>19</v>
      </c>
      <c r="I561" s="1">
        <v>5550</v>
      </c>
      <c r="J561" s="1">
        <v>2</v>
      </c>
      <c r="K561" s="1">
        <v>3</v>
      </c>
      <c r="L561" s="1">
        <v>6</v>
      </c>
    </row>
    <row r="562" spans="1:12" x14ac:dyDescent="0.25">
      <c r="A562" s="1" t="s">
        <v>352</v>
      </c>
      <c r="B562" s="1" t="s">
        <v>616</v>
      </c>
      <c r="C562" s="1" t="s">
        <v>635</v>
      </c>
      <c r="D562" s="1" t="s">
        <v>638</v>
      </c>
      <c r="E562" s="1">
        <v>24</v>
      </c>
      <c r="F562" s="1" t="s">
        <v>639</v>
      </c>
      <c r="G562" s="1">
        <v>0</v>
      </c>
      <c r="H562" s="1">
        <v>0</v>
      </c>
      <c r="I562" s="1">
        <v>5500</v>
      </c>
      <c r="J562" s="1">
        <v>5</v>
      </c>
      <c r="K562" s="1">
        <v>4</v>
      </c>
      <c r="L562" s="1">
        <v>15</v>
      </c>
    </row>
    <row r="563" spans="1:12" x14ac:dyDescent="0.25">
      <c r="A563" s="1" t="s">
        <v>152</v>
      </c>
      <c r="B563" s="1" t="s">
        <v>616</v>
      </c>
      <c r="C563" s="1" t="s">
        <v>635</v>
      </c>
      <c r="D563" s="1" t="s">
        <v>637</v>
      </c>
      <c r="E563" s="1">
        <v>25</v>
      </c>
      <c r="F563" s="1" t="s">
        <v>639</v>
      </c>
      <c r="G563" s="1">
        <v>0</v>
      </c>
      <c r="H563" s="1">
        <v>0</v>
      </c>
      <c r="I563" s="1">
        <v>5470</v>
      </c>
      <c r="J563" s="1">
        <v>1</v>
      </c>
      <c r="K563" s="1">
        <v>3</v>
      </c>
      <c r="L563" s="1">
        <v>11</v>
      </c>
    </row>
    <row r="564" spans="1:12" x14ac:dyDescent="0.25">
      <c r="A564" s="1" t="s">
        <v>128</v>
      </c>
      <c r="B564" s="1" t="s">
        <v>614</v>
      </c>
      <c r="C564" s="1" t="s">
        <v>621</v>
      </c>
      <c r="D564" s="1" t="s">
        <v>637</v>
      </c>
      <c r="E564" s="1">
        <v>21</v>
      </c>
      <c r="F564" s="1" t="s">
        <v>642</v>
      </c>
      <c r="G564" s="1">
        <v>0</v>
      </c>
      <c r="H564" s="1">
        <v>0</v>
      </c>
      <c r="I564" s="1">
        <v>5410</v>
      </c>
      <c r="J564" s="1">
        <v>4</v>
      </c>
      <c r="K564" s="1">
        <v>4</v>
      </c>
      <c r="L564" s="1">
        <v>23</v>
      </c>
    </row>
    <row r="565" spans="1:12" x14ac:dyDescent="0.25">
      <c r="A565" s="1" t="s">
        <v>533</v>
      </c>
      <c r="B565" s="1" t="s">
        <v>613</v>
      </c>
      <c r="C565" s="1" t="s">
        <v>631</v>
      </c>
      <c r="D565" s="1" t="s">
        <v>638</v>
      </c>
      <c r="E565" s="1">
        <v>21</v>
      </c>
      <c r="F565" s="1" t="s">
        <v>639</v>
      </c>
      <c r="G565" s="1">
        <v>0</v>
      </c>
      <c r="H565" s="1">
        <v>0</v>
      </c>
      <c r="I565" s="1">
        <v>5390</v>
      </c>
      <c r="J565" s="1">
        <v>3</v>
      </c>
      <c r="K565" s="1">
        <v>3</v>
      </c>
      <c r="L565" s="1">
        <v>11</v>
      </c>
    </row>
    <row r="566" spans="1:12" x14ac:dyDescent="0.25">
      <c r="A566" s="1" t="s">
        <v>38</v>
      </c>
      <c r="B566" s="1" t="s">
        <v>612</v>
      </c>
      <c r="C566" s="1" t="s">
        <v>619</v>
      </c>
      <c r="D566" s="1" t="s">
        <v>638</v>
      </c>
      <c r="E566" s="1">
        <v>27</v>
      </c>
      <c r="F566" s="1" t="s">
        <v>640</v>
      </c>
      <c r="G566" s="1">
        <v>0</v>
      </c>
      <c r="H566" s="1">
        <v>0</v>
      </c>
      <c r="I566" s="1">
        <v>5170</v>
      </c>
      <c r="J566" s="1">
        <v>4</v>
      </c>
      <c r="K566" s="1">
        <v>5</v>
      </c>
      <c r="L566" s="1">
        <v>17</v>
      </c>
    </row>
    <row r="567" spans="1:12" x14ac:dyDescent="0.25">
      <c r="A567" s="1" t="s">
        <v>243</v>
      </c>
      <c r="B567" s="1" t="s">
        <v>614</v>
      </c>
      <c r="C567" s="1" t="s">
        <v>626</v>
      </c>
      <c r="D567" s="1" t="s">
        <v>638</v>
      </c>
      <c r="E567" s="1">
        <v>22</v>
      </c>
      <c r="F567" s="1" t="s">
        <v>639</v>
      </c>
      <c r="G567" s="1">
        <v>0</v>
      </c>
      <c r="H567" s="1">
        <v>0</v>
      </c>
      <c r="I567" s="1">
        <v>5150</v>
      </c>
      <c r="J567" s="1">
        <v>4</v>
      </c>
      <c r="K567" s="1">
        <v>5</v>
      </c>
      <c r="L567" s="1">
        <v>10</v>
      </c>
    </row>
    <row r="568" spans="1:12" x14ac:dyDescent="0.25">
      <c r="A568" s="1" t="s">
        <v>551</v>
      </c>
      <c r="B568" s="1" t="s">
        <v>616</v>
      </c>
      <c r="C568" s="1" t="s">
        <v>636</v>
      </c>
      <c r="D568" s="1" t="s">
        <v>638</v>
      </c>
      <c r="E568" s="1">
        <v>23</v>
      </c>
      <c r="F568" s="1" t="s">
        <v>639</v>
      </c>
      <c r="G568" s="1">
        <v>0</v>
      </c>
      <c r="H568" s="1">
        <v>0</v>
      </c>
      <c r="I568" s="1">
        <v>5100</v>
      </c>
      <c r="J568" s="1">
        <v>3</v>
      </c>
      <c r="K568" s="1">
        <v>4</v>
      </c>
      <c r="L568" s="1">
        <v>14</v>
      </c>
    </row>
    <row r="569" spans="1:12" x14ac:dyDescent="0.25">
      <c r="A569" s="1" t="s">
        <v>285</v>
      </c>
      <c r="B569" s="1" t="s">
        <v>615</v>
      </c>
      <c r="C569" s="1" t="s">
        <v>625</v>
      </c>
      <c r="D569" s="1" t="s">
        <v>638</v>
      </c>
      <c r="E569" s="1">
        <v>25</v>
      </c>
      <c r="F569" s="1" t="s">
        <v>639</v>
      </c>
      <c r="G569" s="1">
        <v>0</v>
      </c>
      <c r="H569" s="1">
        <v>3</v>
      </c>
      <c r="I569" s="1">
        <v>5030</v>
      </c>
      <c r="J569" s="1">
        <v>3</v>
      </c>
      <c r="K569" s="1">
        <v>4</v>
      </c>
      <c r="L569" s="1">
        <v>11</v>
      </c>
    </row>
    <row r="570" spans="1:12" x14ac:dyDescent="0.25">
      <c r="A570" s="1" t="s">
        <v>169</v>
      </c>
      <c r="B570" s="1" t="s">
        <v>613</v>
      </c>
      <c r="C570" s="1" t="s">
        <v>620</v>
      </c>
      <c r="D570" s="1" t="s">
        <v>638</v>
      </c>
      <c r="E570" s="1">
        <v>23</v>
      </c>
      <c r="F570" s="1" t="s">
        <v>639</v>
      </c>
      <c r="G570" s="1">
        <v>0</v>
      </c>
      <c r="H570" s="1">
        <v>0</v>
      </c>
      <c r="I570" s="1">
        <v>5010</v>
      </c>
      <c r="J570" s="1">
        <v>5</v>
      </c>
      <c r="K570" s="1">
        <v>4</v>
      </c>
      <c r="L570" s="1">
        <v>2</v>
      </c>
    </row>
    <row r="571" spans="1:12" x14ac:dyDescent="0.25">
      <c r="A571" s="1" t="s">
        <v>227</v>
      </c>
      <c r="B571" s="1" t="s">
        <v>617</v>
      </c>
      <c r="C571" s="1" t="s">
        <v>627</v>
      </c>
      <c r="D571" s="1" t="s">
        <v>637</v>
      </c>
      <c r="E571" s="1">
        <v>35</v>
      </c>
      <c r="F571" s="1" t="s">
        <v>640</v>
      </c>
      <c r="G571" s="1">
        <v>0</v>
      </c>
      <c r="H571" s="1">
        <v>14</v>
      </c>
      <c r="I571" s="1">
        <v>4960</v>
      </c>
      <c r="J571" s="1">
        <v>3</v>
      </c>
      <c r="K571" s="1">
        <v>3</v>
      </c>
      <c r="L571" s="1">
        <v>0</v>
      </c>
    </row>
    <row r="572" spans="1:12" x14ac:dyDescent="0.25">
      <c r="A572" s="1" t="s">
        <v>384</v>
      </c>
      <c r="B572" s="1" t="s">
        <v>617</v>
      </c>
      <c r="C572" s="1" t="s">
        <v>634</v>
      </c>
      <c r="D572" s="1" t="s">
        <v>638</v>
      </c>
      <c r="E572" s="1">
        <v>30</v>
      </c>
      <c r="F572" s="1" t="s">
        <v>642</v>
      </c>
      <c r="G572" s="1">
        <v>0</v>
      </c>
      <c r="H572" s="1">
        <v>3</v>
      </c>
      <c r="I572" s="1">
        <v>4940</v>
      </c>
      <c r="J572" s="1">
        <v>2</v>
      </c>
      <c r="K572" s="1">
        <v>2</v>
      </c>
      <c r="L572" s="1">
        <v>5</v>
      </c>
    </row>
    <row r="573" spans="1:12" x14ac:dyDescent="0.25">
      <c r="A573" s="1" t="s">
        <v>156</v>
      </c>
      <c r="B573" s="1" t="s">
        <v>616</v>
      </c>
      <c r="C573" s="1" t="s">
        <v>636</v>
      </c>
      <c r="D573" s="1" t="s">
        <v>638</v>
      </c>
      <c r="E573" s="1">
        <v>21</v>
      </c>
      <c r="F573" s="1" t="s">
        <v>639</v>
      </c>
      <c r="G573" s="1">
        <v>0</v>
      </c>
      <c r="H573" s="1">
        <v>0</v>
      </c>
      <c r="I573" s="1">
        <v>4860</v>
      </c>
      <c r="J573" s="1">
        <v>4</v>
      </c>
      <c r="K573" s="1">
        <v>3</v>
      </c>
      <c r="L573" s="1">
        <v>0</v>
      </c>
    </row>
    <row r="574" spans="1:12" x14ac:dyDescent="0.25">
      <c r="A574" s="1" t="s">
        <v>137</v>
      </c>
      <c r="B574" s="1" t="s">
        <v>615</v>
      </c>
      <c r="C574" s="1" t="s">
        <v>625</v>
      </c>
      <c r="D574" s="1" t="s">
        <v>637</v>
      </c>
      <c r="E574" s="1">
        <v>22</v>
      </c>
      <c r="F574" s="1" t="s">
        <v>640</v>
      </c>
      <c r="G574" s="1">
        <v>0</v>
      </c>
      <c r="H574" s="1">
        <v>0</v>
      </c>
      <c r="I574" s="1">
        <v>4810</v>
      </c>
      <c r="J574" s="1">
        <v>5</v>
      </c>
      <c r="K574" s="1">
        <v>3</v>
      </c>
      <c r="L574" s="1">
        <v>2</v>
      </c>
    </row>
    <row r="575" spans="1:12" x14ac:dyDescent="0.25">
      <c r="A575" s="1" t="s">
        <v>295</v>
      </c>
      <c r="B575" s="1" t="s">
        <v>616</v>
      </c>
      <c r="C575" s="1" t="s">
        <v>635</v>
      </c>
      <c r="D575" s="1" t="s">
        <v>637</v>
      </c>
      <c r="E575" s="1">
        <v>24</v>
      </c>
      <c r="F575" s="1" t="s">
        <v>640</v>
      </c>
      <c r="G575" s="1">
        <v>0</v>
      </c>
      <c r="H575" s="1">
        <v>0</v>
      </c>
      <c r="I575" s="1">
        <v>4790</v>
      </c>
      <c r="J575" s="1">
        <v>3</v>
      </c>
      <c r="K575" s="1">
        <v>3</v>
      </c>
      <c r="L575" s="1">
        <v>11</v>
      </c>
    </row>
    <row r="576" spans="1:12" x14ac:dyDescent="0.25">
      <c r="A576" s="1" t="s">
        <v>392</v>
      </c>
      <c r="B576" s="1" t="s">
        <v>617</v>
      </c>
      <c r="C576" s="1" t="s">
        <v>634</v>
      </c>
      <c r="D576" s="1" t="s">
        <v>637</v>
      </c>
      <c r="E576" s="1">
        <v>21</v>
      </c>
      <c r="F576" s="1" t="s">
        <v>639</v>
      </c>
      <c r="G576" s="1">
        <v>0</v>
      </c>
      <c r="H576" s="1">
        <v>0</v>
      </c>
      <c r="I576" s="1">
        <v>4780</v>
      </c>
      <c r="J576" s="1">
        <v>2</v>
      </c>
      <c r="K576" s="1">
        <v>3</v>
      </c>
      <c r="L576" s="1">
        <v>19</v>
      </c>
    </row>
    <row r="577" spans="1:12" x14ac:dyDescent="0.25">
      <c r="A577" s="1" t="s">
        <v>417</v>
      </c>
      <c r="B577" s="1" t="s">
        <v>617</v>
      </c>
      <c r="C577" s="1" t="s">
        <v>627</v>
      </c>
      <c r="D577" s="1" t="s">
        <v>637</v>
      </c>
      <c r="E577" s="1">
        <v>24</v>
      </c>
      <c r="F577" s="1" t="s">
        <v>639</v>
      </c>
      <c r="G577" s="1">
        <v>0</v>
      </c>
      <c r="H577" s="1">
        <v>0</v>
      </c>
      <c r="I577" s="1">
        <v>4780</v>
      </c>
      <c r="J577" s="1">
        <v>3</v>
      </c>
      <c r="K577" s="1">
        <v>3</v>
      </c>
      <c r="L577" s="1">
        <v>1</v>
      </c>
    </row>
    <row r="578" spans="1:12" x14ac:dyDescent="0.25">
      <c r="A578" s="1" t="s">
        <v>342</v>
      </c>
      <c r="B578" s="1" t="s">
        <v>616</v>
      </c>
      <c r="C578" s="1" t="s">
        <v>624</v>
      </c>
      <c r="D578" s="1" t="s">
        <v>638</v>
      </c>
      <c r="E578" s="1">
        <v>31</v>
      </c>
      <c r="F578" s="1" t="s">
        <v>639</v>
      </c>
      <c r="G578" s="1">
        <v>0</v>
      </c>
      <c r="H578" s="1">
        <v>6</v>
      </c>
      <c r="I578" s="1">
        <v>4770</v>
      </c>
      <c r="J578" s="1">
        <v>5</v>
      </c>
      <c r="K578" s="1">
        <v>3</v>
      </c>
      <c r="L578" s="1">
        <v>0</v>
      </c>
    </row>
    <row r="579" spans="1:12" x14ac:dyDescent="0.25">
      <c r="A579" s="1" t="s">
        <v>268</v>
      </c>
      <c r="B579" s="1" t="s">
        <v>613</v>
      </c>
      <c r="C579" s="1" t="s">
        <v>620</v>
      </c>
      <c r="D579" s="1" t="s">
        <v>638</v>
      </c>
      <c r="E579" s="1">
        <v>24</v>
      </c>
      <c r="F579" s="1" t="s">
        <v>639</v>
      </c>
      <c r="G579" s="1">
        <v>0</v>
      </c>
      <c r="H579" s="1">
        <v>0</v>
      </c>
      <c r="I579" s="1">
        <v>4680</v>
      </c>
      <c r="J579" s="1">
        <v>3</v>
      </c>
      <c r="K579" s="1">
        <v>3</v>
      </c>
      <c r="L579" s="1">
        <v>16</v>
      </c>
    </row>
    <row r="580" spans="1:12" x14ac:dyDescent="0.25">
      <c r="A580" s="1" t="s">
        <v>75</v>
      </c>
      <c r="B580" s="1" t="s">
        <v>615</v>
      </c>
      <c r="C580" s="1" t="s">
        <v>622</v>
      </c>
      <c r="D580" s="1" t="s">
        <v>638</v>
      </c>
      <c r="E580" s="1">
        <v>26</v>
      </c>
      <c r="F580" s="1" t="s">
        <v>639</v>
      </c>
      <c r="G580" s="1">
        <v>0</v>
      </c>
      <c r="H580" s="1">
        <v>0</v>
      </c>
      <c r="I580" s="1">
        <v>4670</v>
      </c>
      <c r="J580" s="1">
        <v>3</v>
      </c>
      <c r="K580" s="1">
        <v>3</v>
      </c>
      <c r="L580" s="1">
        <v>7</v>
      </c>
    </row>
    <row r="581" spans="1:12" x14ac:dyDescent="0.25">
      <c r="A581" s="1" t="s">
        <v>610</v>
      </c>
      <c r="B581" s="1" t="s">
        <v>614</v>
      </c>
      <c r="C581" s="1" t="s">
        <v>626</v>
      </c>
      <c r="D581" s="1" t="s">
        <v>638</v>
      </c>
      <c r="E581" s="1">
        <v>21</v>
      </c>
      <c r="F581" s="1" t="s">
        <v>640</v>
      </c>
      <c r="G581" s="1">
        <v>0</v>
      </c>
      <c r="H581" s="1">
        <v>0</v>
      </c>
      <c r="I581" s="1">
        <v>4670</v>
      </c>
      <c r="J581" s="1">
        <v>4</v>
      </c>
      <c r="K581" s="1">
        <v>4</v>
      </c>
      <c r="L581" s="1">
        <v>27</v>
      </c>
    </row>
    <row r="582" spans="1:12" x14ac:dyDescent="0.25">
      <c r="A582" s="1" t="s">
        <v>398</v>
      </c>
      <c r="B582" s="1" t="s">
        <v>617</v>
      </c>
      <c r="C582" s="1" t="s">
        <v>627</v>
      </c>
      <c r="D582" s="1" t="s">
        <v>638</v>
      </c>
      <c r="E582" s="1">
        <v>25</v>
      </c>
      <c r="F582" s="1" t="s">
        <v>639</v>
      </c>
      <c r="G582" s="1">
        <v>0</v>
      </c>
      <c r="H582" s="1">
        <v>5</v>
      </c>
      <c r="I582" s="1">
        <v>4600</v>
      </c>
      <c r="J582" s="1">
        <v>4</v>
      </c>
      <c r="K582" s="1">
        <v>5</v>
      </c>
      <c r="L582" s="1">
        <v>2</v>
      </c>
    </row>
    <row r="583" spans="1:12" x14ac:dyDescent="0.25">
      <c r="A583" s="1" t="s">
        <v>400</v>
      </c>
      <c r="B583" s="1" t="s">
        <v>613</v>
      </c>
      <c r="C583" s="1" t="s">
        <v>631</v>
      </c>
      <c r="D583" s="1" t="s">
        <v>637</v>
      </c>
      <c r="E583" s="1">
        <v>27</v>
      </c>
      <c r="F583" s="1" t="s">
        <v>639</v>
      </c>
      <c r="G583" s="1">
        <v>0</v>
      </c>
      <c r="H583" s="1">
        <v>0</v>
      </c>
      <c r="I583" s="1">
        <v>4600</v>
      </c>
      <c r="J583" s="1">
        <v>1</v>
      </c>
      <c r="K583" s="1">
        <v>3</v>
      </c>
      <c r="L583" s="1">
        <v>9</v>
      </c>
    </row>
    <row r="584" spans="1:12" x14ac:dyDescent="0.25">
      <c r="A584" s="1" t="s">
        <v>39</v>
      </c>
      <c r="B584" s="1" t="s">
        <v>612</v>
      </c>
      <c r="C584" s="1" t="s">
        <v>619</v>
      </c>
      <c r="D584" s="1" t="s">
        <v>638</v>
      </c>
      <c r="E584" s="1">
        <v>22</v>
      </c>
      <c r="F584" s="1" t="s">
        <v>639</v>
      </c>
      <c r="G584" s="1">
        <v>0</v>
      </c>
      <c r="H584" s="1">
        <v>0</v>
      </c>
      <c r="I584" s="1">
        <v>4570</v>
      </c>
      <c r="J584" s="1">
        <v>3</v>
      </c>
      <c r="K584" s="1">
        <v>1</v>
      </c>
      <c r="L584" s="1">
        <v>11</v>
      </c>
    </row>
    <row r="585" spans="1:12" x14ac:dyDescent="0.25">
      <c r="A585" s="1" t="s">
        <v>298</v>
      </c>
      <c r="B585" s="1" t="s">
        <v>613</v>
      </c>
      <c r="C585" s="1" t="s">
        <v>631</v>
      </c>
      <c r="D585" s="1" t="s">
        <v>638</v>
      </c>
      <c r="E585" s="1">
        <v>26</v>
      </c>
      <c r="F585" s="1" t="s">
        <v>641</v>
      </c>
      <c r="G585" s="1">
        <v>0</v>
      </c>
      <c r="H585" s="1">
        <v>0</v>
      </c>
      <c r="I585" s="1">
        <v>4530</v>
      </c>
      <c r="J585" s="1">
        <v>3</v>
      </c>
      <c r="K585" s="1">
        <v>3</v>
      </c>
      <c r="L585" s="1">
        <v>3</v>
      </c>
    </row>
    <row r="586" spans="1:12" x14ac:dyDescent="0.25">
      <c r="A586" s="1" t="s">
        <v>162</v>
      </c>
      <c r="B586" s="1" t="s">
        <v>615</v>
      </c>
      <c r="C586" s="1" t="s">
        <v>622</v>
      </c>
      <c r="D586" s="1" t="s">
        <v>638</v>
      </c>
      <c r="E586" s="1">
        <v>27</v>
      </c>
      <c r="F586" s="1" t="s">
        <v>639</v>
      </c>
      <c r="G586" s="1">
        <v>0</v>
      </c>
      <c r="H586" s="1">
        <v>0</v>
      </c>
      <c r="I586" s="1">
        <v>4500</v>
      </c>
      <c r="J586" s="1">
        <v>1</v>
      </c>
      <c r="K586" s="1">
        <v>4</v>
      </c>
      <c r="L586" s="1">
        <v>10</v>
      </c>
    </row>
    <row r="587" spans="1:12" x14ac:dyDescent="0.25">
      <c r="A587" s="1" t="s">
        <v>467</v>
      </c>
      <c r="B587" s="1" t="s">
        <v>617</v>
      </c>
      <c r="C587" s="1" t="s">
        <v>634</v>
      </c>
      <c r="D587" s="1" t="s">
        <v>638</v>
      </c>
      <c r="E587" s="1">
        <v>27</v>
      </c>
      <c r="F587" s="1" t="s">
        <v>639</v>
      </c>
      <c r="G587" s="1">
        <v>0</v>
      </c>
      <c r="H587" s="1">
        <v>1</v>
      </c>
      <c r="I587" s="1">
        <v>4430</v>
      </c>
      <c r="J587" s="1">
        <v>4</v>
      </c>
      <c r="K587" s="1">
        <v>4</v>
      </c>
      <c r="L587" s="1">
        <v>5</v>
      </c>
    </row>
    <row r="588" spans="1:12" x14ac:dyDescent="0.25">
      <c r="A588" s="1" t="s">
        <v>196</v>
      </c>
      <c r="B588" s="1" t="s">
        <v>616</v>
      </c>
      <c r="C588" s="1" t="s">
        <v>624</v>
      </c>
      <c r="D588" s="1" t="s">
        <v>637</v>
      </c>
      <c r="E588" s="1">
        <v>23</v>
      </c>
      <c r="F588" s="1" t="s">
        <v>639</v>
      </c>
      <c r="G588" s="1">
        <v>0</v>
      </c>
      <c r="H588" s="1">
        <v>0</v>
      </c>
      <c r="I588" s="1">
        <v>4380</v>
      </c>
      <c r="J588" s="1">
        <v>4</v>
      </c>
      <c r="K588" s="1">
        <v>3</v>
      </c>
      <c r="L588" s="1">
        <v>4</v>
      </c>
    </row>
    <row r="589" spans="1:12" x14ac:dyDescent="0.25">
      <c r="A589" s="1" t="s">
        <v>54</v>
      </c>
      <c r="B589" s="1" t="s">
        <v>617</v>
      </c>
      <c r="C589" s="1" t="s">
        <v>627</v>
      </c>
      <c r="D589" s="1" t="s">
        <v>638</v>
      </c>
      <c r="E589" s="1">
        <v>21</v>
      </c>
      <c r="F589" s="1" t="s">
        <v>639</v>
      </c>
      <c r="G589" s="1">
        <v>0</v>
      </c>
      <c r="H589" s="1">
        <v>0</v>
      </c>
      <c r="I589" s="1">
        <v>4290</v>
      </c>
      <c r="J589" s="1">
        <v>3</v>
      </c>
      <c r="K589" s="1">
        <v>4</v>
      </c>
      <c r="L589" s="1">
        <v>16</v>
      </c>
    </row>
    <row r="590" spans="1:12" x14ac:dyDescent="0.25">
      <c r="A590" s="1" t="s">
        <v>487</v>
      </c>
      <c r="B590" s="1" t="s">
        <v>616</v>
      </c>
      <c r="C590" s="1" t="s">
        <v>624</v>
      </c>
      <c r="D590" s="1" t="s">
        <v>638</v>
      </c>
      <c r="E590" s="1">
        <v>22</v>
      </c>
      <c r="F590" s="1" t="s">
        <v>642</v>
      </c>
      <c r="G590" s="1">
        <v>0</v>
      </c>
      <c r="H590" s="1">
        <v>0</v>
      </c>
      <c r="I590" s="1">
        <v>4280</v>
      </c>
      <c r="J590" s="1">
        <v>4</v>
      </c>
      <c r="K590" s="1">
        <v>3</v>
      </c>
      <c r="L590" s="1">
        <v>11</v>
      </c>
    </row>
    <row r="591" spans="1:12" x14ac:dyDescent="0.25">
      <c r="A591" s="1" t="s">
        <v>604</v>
      </c>
      <c r="B591" s="1" t="s">
        <v>612</v>
      </c>
      <c r="C591" s="1" t="s">
        <v>618</v>
      </c>
      <c r="D591" s="1" t="s">
        <v>638</v>
      </c>
      <c r="E591" s="1">
        <v>25</v>
      </c>
      <c r="F591" s="1" t="s">
        <v>640</v>
      </c>
      <c r="G591" s="1">
        <v>0</v>
      </c>
      <c r="H591" s="1">
        <v>0</v>
      </c>
      <c r="I591" s="1">
        <v>4270</v>
      </c>
      <c r="J591" s="1">
        <v>3</v>
      </c>
      <c r="K591" s="1">
        <v>1</v>
      </c>
      <c r="L591" s="1">
        <v>19</v>
      </c>
    </row>
    <row r="592" spans="1:12" x14ac:dyDescent="0.25">
      <c r="A592" s="1" t="s">
        <v>14</v>
      </c>
      <c r="B592" s="1" t="s">
        <v>613</v>
      </c>
      <c r="C592" s="1" t="s">
        <v>620</v>
      </c>
      <c r="D592" s="1" t="s">
        <v>637</v>
      </c>
      <c r="E592" s="1">
        <v>23</v>
      </c>
      <c r="F592" s="1" t="s">
        <v>640</v>
      </c>
      <c r="G592" s="1">
        <v>0</v>
      </c>
      <c r="H592" s="1">
        <v>0</v>
      </c>
      <c r="I592" s="1">
        <v>4250</v>
      </c>
      <c r="J592" s="1">
        <v>5</v>
      </c>
      <c r="K592" s="1">
        <v>3</v>
      </c>
      <c r="L592" s="1">
        <v>10</v>
      </c>
    </row>
    <row r="593" spans="1:12" x14ac:dyDescent="0.25">
      <c r="A593" s="1" t="s">
        <v>389</v>
      </c>
      <c r="B593" s="1" t="s">
        <v>612</v>
      </c>
      <c r="C593" s="1" t="s">
        <v>619</v>
      </c>
      <c r="D593" s="1" t="s">
        <v>637</v>
      </c>
      <c r="E593" s="1">
        <v>25</v>
      </c>
      <c r="F593" s="1" t="s">
        <v>640</v>
      </c>
      <c r="G593" s="1">
        <v>0</v>
      </c>
      <c r="H593" s="1">
        <v>0</v>
      </c>
      <c r="I593" s="1">
        <v>4250</v>
      </c>
      <c r="J593" s="1">
        <v>3</v>
      </c>
      <c r="K593" s="1">
        <v>3</v>
      </c>
      <c r="L593" s="1">
        <v>10</v>
      </c>
    </row>
    <row r="594" spans="1:12" x14ac:dyDescent="0.25">
      <c r="A594" s="1" t="s">
        <v>518</v>
      </c>
      <c r="B594" s="1" t="s">
        <v>616</v>
      </c>
      <c r="C594" s="1" t="s">
        <v>624</v>
      </c>
      <c r="D594" s="1" t="s">
        <v>637</v>
      </c>
      <c r="E594" s="1">
        <v>25</v>
      </c>
      <c r="F594" s="1" t="s">
        <v>642</v>
      </c>
      <c r="G594" s="1">
        <v>0</v>
      </c>
      <c r="H594" s="1">
        <v>4</v>
      </c>
      <c r="I594" s="1">
        <v>4240</v>
      </c>
      <c r="J594" s="1">
        <v>5</v>
      </c>
      <c r="K594" s="1">
        <v>4</v>
      </c>
      <c r="L594" s="1">
        <v>6</v>
      </c>
    </row>
    <row r="595" spans="1:12" x14ac:dyDescent="0.25">
      <c r="A595" s="1" t="s">
        <v>67</v>
      </c>
      <c r="B595" s="1" t="s">
        <v>616</v>
      </c>
      <c r="C595" s="1" t="s">
        <v>624</v>
      </c>
      <c r="D595" s="1" t="s">
        <v>638</v>
      </c>
      <c r="E595" s="1">
        <v>24</v>
      </c>
      <c r="F595" s="1" t="s">
        <v>639</v>
      </c>
      <c r="G595" s="1">
        <v>0</v>
      </c>
      <c r="H595" s="1">
        <v>0</v>
      </c>
      <c r="I595" s="1">
        <v>4160</v>
      </c>
      <c r="J595" s="1">
        <v>5</v>
      </c>
      <c r="K595" s="1">
        <v>3</v>
      </c>
      <c r="L595" s="1">
        <v>0</v>
      </c>
    </row>
    <row r="596" spans="1:12" x14ac:dyDescent="0.25">
      <c r="A596" s="1" t="s">
        <v>96</v>
      </c>
      <c r="B596" s="1" t="s">
        <v>612</v>
      </c>
      <c r="C596" s="1" t="s">
        <v>619</v>
      </c>
      <c r="D596" s="1" t="s">
        <v>638</v>
      </c>
      <c r="E596" s="1">
        <v>27</v>
      </c>
      <c r="F596" s="1" t="s">
        <v>639</v>
      </c>
      <c r="G596" s="1">
        <v>0</v>
      </c>
      <c r="H596" s="1">
        <v>0</v>
      </c>
      <c r="I596" s="1">
        <v>4110</v>
      </c>
      <c r="J596" s="1">
        <v>3</v>
      </c>
      <c r="K596" s="1">
        <v>4</v>
      </c>
      <c r="L596" s="1">
        <v>6</v>
      </c>
    </row>
    <row r="597" spans="1:12" x14ac:dyDescent="0.25">
      <c r="A597" s="1" t="s">
        <v>593</v>
      </c>
      <c r="B597" s="1" t="s">
        <v>612</v>
      </c>
      <c r="C597" s="1" t="s">
        <v>618</v>
      </c>
      <c r="D597" s="1" t="s">
        <v>637</v>
      </c>
      <c r="E597" s="1">
        <v>23</v>
      </c>
      <c r="F597" s="1" t="s">
        <v>639</v>
      </c>
      <c r="G597" s="1">
        <v>0</v>
      </c>
      <c r="H597" s="1">
        <v>0</v>
      </c>
      <c r="I597" s="1">
        <v>4060</v>
      </c>
      <c r="J597" s="1">
        <v>3</v>
      </c>
      <c r="K597" s="1">
        <v>1</v>
      </c>
      <c r="L597" s="1">
        <v>9</v>
      </c>
    </row>
    <row r="598" spans="1:12" x14ac:dyDescent="0.25">
      <c r="A598" s="1" t="s">
        <v>303</v>
      </c>
      <c r="B598" s="1" t="s">
        <v>617</v>
      </c>
      <c r="C598" s="1" t="s">
        <v>634</v>
      </c>
      <c r="D598" s="1" t="s">
        <v>638</v>
      </c>
      <c r="E598" s="1">
        <v>21</v>
      </c>
      <c r="F598" s="1" t="s">
        <v>640</v>
      </c>
      <c r="G598" s="1">
        <v>0</v>
      </c>
      <c r="H598" s="1">
        <v>0</v>
      </c>
      <c r="I598" s="1">
        <v>3990</v>
      </c>
      <c r="J598" s="1">
        <v>4</v>
      </c>
      <c r="K598" s="1">
        <v>2</v>
      </c>
      <c r="L598" s="1">
        <v>15</v>
      </c>
    </row>
    <row r="599" spans="1:12" x14ac:dyDescent="0.25">
      <c r="A599" s="1" t="s">
        <v>491</v>
      </c>
      <c r="B599" s="1" t="s">
        <v>612</v>
      </c>
      <c r="C599" s="1" t="s">
        <v>619</v>
      </c>
      <c r="D599" s="1" t="s">
        <v>638</v>
      </c>
      <c r="E599" s="1">
        <v>27</v>
      </c>
      <c r="F599" s="1" t="s">
        <v>642</v>
      </c>
      <c r="G599" s="1">
        <v>0</v>
      </c>
      <c r="H599" s="1">
        <v>0</v>
      </c>
      <c r="I599" s="1">
        <v>3950</v>
      </c>
      <c r="J599" s="1">
        <v>2</v>
      </c>
      <c r="K599" s="1">
        <v>4</v>
      </c>
      <c r="L599" s="1">
        <v>18</v>
      </c>
    </row>
    <row r="600" spans="1:12" x14ac:dyDescent="0.25">
      <c r="A600" s="1" t="s">
        <v>16</v>
      </c>
      <c r="B600" s="1" t="s">
        <v>615</v>
      </c>
      <c r="C600" s="1" t="s">
        <v>622</v>
      </c>
      <c r="D600" s="1" t="s">
        <v>638</v>
      </c>
      <c r="E600" s="1">
        <v>26</v>
      </c>
      <c r="F600" s="1" t="s">
        <v>639</v>
      </c>
      <c r="G600" s="1">
        <v>0</v>
      </c>
      <c r="H600" s="1">
        <v>0</v>
      </c>
      <c r="I600" s="1">
        <v>3910</v>
      </c>
      <c r="J600" s="1">
        <v>5</v>
      </c>
      <c r="K600" s="1">
        <v>4</v>
      </c>
      <c r="L600" s="1">
        <v>3</v>
      </c>
    </row>
    <row r="601" spans="1:12" x14ac:dyDescent="0.25">
      <c r="A601" s="1" t="s">
        <v>473</v>
      </c>
      <c r="B601" s="1" t="s">
        <v>617</v>
      </c>
      <c r="C601" s="1" t="s">
        <v>634</v>
      </c>
      <c r="D601" s="1" t="s">
        <v>637</v>
      </c>
      <c r="E601" s="1">
        <v>22</v>
      </c>
      <c r="F601" s="1" t="s">
        <v>639</v>
      </c>
      <c r="G601" s="1">
        <v>0</v>
      </c>
      <c r="H601" s="1">
        <v>4</v>
      </c>
      <c r="I601" s="1">
        <v>3820</v>
      </c>
      <c r="J601" s="1">
        <v>4</v>
      </c>
      <c r="K601" s="1">
        <v>2</v>
      </c>
      <c r="L601" s="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6" sqref="A4:A9"/>
      <pivotSelection pane="bottomRight" showHeader="1" axis="axisRow" activeRow="5" previousRow="5" click="1" r:id="rId1">
        <pivotArea dataOnly="0" labelOnly="1" fieldPosition="0">
          <references count="1">
            <reference field="1" count="0"/>
          </references>
        </pivotArea>
      </pivotSelection>
    </sheetView>
  </sheetViews>
  <sheetFormatPr defaultRowHeight="13.8" x14ac:dyDescent="0.25"/>
  <cols>
    <col min="1" max="1" width="13.09765625" customWidth="1"/>
    <col min="2" max="2" width="24.796875" bestFit="1" customWidth="1"/>
  </cols>
  <sheetData>
    <row r="3" spans="1:2" x14ac:dyDescent="0.25">
      <c r="A3" s="4" t="s">
        <v>644</v>
      </c>
      <c r="B3" t="s">
        <v>647</v>
      </c>
    </row>
    <row r="4" spans="1:2" x14ac:dyDescent="0.25">
      <c r="A4" s="5" t="s">
        <v>615</v>
      </c>
      <c r="B4" s="6">
        <v>8154.591836734694</v>
      </c>
    </row>
    <row r="5" spans="1:2" x14ac:dyDescent="0.25">
      <c r="A5" s="5" t="s">
        <v>614</v>
      </c>
      <c r="B5" s="6">
        <v>7882.424242424242</v>
      </c>
    </row>
    <row r="6" spans="1:2" x14ac:dyDescent="0.25">
      <c r="A6" s="5" t="s">
        <v>613</v>
      </c>
      <c r="B6" s="6">
        <v>7568.0733944954127</v>
      </c>
    </row>
    <row r="7" spans="1:2" x14ac:dyDescent="0.25">
      <c r="A7" s="5" t="s">
        <v>616</v>
      </c>
      <c r="B7" s="6">
        <v>7467.5789473684208</v>
      </c>
    </row>
    <row r="8" spans="1:2" x14ac:dyDescent="0.25">
      <c r="A8" s="5" t="s">
        <v>617</v>
      </c>
      <c r="B8" s="6">
        <v>7096.4864864864867</v>
      </c>
    </row>
    <row r="9" spans="1:2" x14ac:dyDescent="0.25">
      <c r="A9" s="5" t="s">
        <v>612</v>
      </c>
      <c r="B9" s="6">
        <v>7063.636363636364</v>
      </c>
    </row>
    <row r="10" spans="1:2" x14ac:dyDescent="0.25">
      <c r="A10" s="5" t="s">
        <v>645</v>
      </c>
      <c r="B10" s="6">
        <v>7538.6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12" sqref="B12"/>
    </sheetView>
  </sheetViews>
  <sheetFormatPr defaultRowHeight="13.8" x14ac:dyDescent="0.25"/>
  <cols>
    <col min="1" max="1" width="13.09765625" customWidth="1"/>
    <col min="2" max="2" width="24.796875" customWidth="1"/>
    <col min="3" max="4" width="5.8984375" customWidth="1"/>
    <col min="5" max="5" width="4.8984375" customWidth="1"/>
    <col min="6" max="9" width="5.8984375" customWidth="1"/>
    <col min="10" max="10" width="4.8984375" customWidth="1"/>
    <col min="11" max="17" width="5.8984375" customWidth="1"/>
    <col min="18" max="18" width="11" customWidth="1"/>
    <col min="19" max="19" width="19.796875" bestFit="1" customWidth="1"/>
    <col min="20" max="20" width="17.296875" bestFit="1" customWidth="1"/>
    <col min="21" max="21" width="11" bestFit="1" customWidth="1"/>
  </cols>
  <sheetData>
    <row r="3" spans="1:2" x14ac:dyDescent="0.25">
      <c r="A3" s="4" t="s">
        <v>644</v>
      </c>
      <c r="B3" t="s">
        <v>647</v>
      </c>
    </row>
    <row r="4" spans="1:2" x14ac:dyDescent="0.25">
      <c r="A4" s="5" t="s">
        <v>83</v>
      </c>
      <c r="B4" s="6">
        <v>12050</v>
      </c>
    </row>
    <row r="5" spans="1:2" x14ac:dyDescent="0.25">
      <c r="A5" s="5" t="s">
        <v>404</v>
      </c>
      <c r="B5" s="6">
        <v>11550</v>
      </c>
    </row>
    <row r="6" spans="1:2" x14ac:dyDescent="0.25">
      <c r="A6" s="5" t="s">
        <v>29</v>
      </c>
      <c r="B6" s="6">
        <v>11530</v>
      </c>
    </row>
    <row r="7" spans="1:2" x14ac:dyDescent="0.25">
      <c r="A7" s="5" t="s">
        <v>592</v>
      </c>
      <c r="B7" s="6">
        <v>11340</v>
      </c>
    </row>
    <row r="8" spans="1:2" x14ac:dyDescent="0.25">
      <c r="A8" s="5" t="s">
        <v>508</v>
      </c>
      <c r="B8" s="6">
        <v>11120</v>
      </c>
    </row>
    <row r="9" spans="1:2" x14ac:dyDescent="0.25">
      <c r="A9" s="5" t="s">
        <v>477</v>
      </c>
      <c r="B9" s="6">
        <v>11070</v>
      </c>
    </row>
    <row r="10" spans="1:2" x14ac:dyDescent="0.25">
      <c r="A10" s="5" t="s">
        <v>175</v>
      </c>
      <c r="B10" s="6">
        <v>11060</v>
      </c>
    </row>
    <row r="11" spans="1:2" x14ac:dyDescent="0.25">
      <c r="A11" s="5" t="s">
        <v>182</v>
      </c>
      <c r="B11" s="6">
        <v>11030</v>
      </c>
    </row>
    <row r="12" spans="1:2" x14ac:dyDescent="0.25">
      <c r="A12" s="5" t="s">
        <v>225</v>
      </c>
      <c r="B12" s="6">
        <v>11000</v>
      </c>
    </row>
    <row r="13" spans="1:2" x14ac:dyDescent="0.25">
      <c r="A13" s="5" t="s">
        <v>371</v>
      </c>
      <c r="B13" s="6">
        <v>10970</v>
      </c>
    </row>
    <row r="14" spans="1:2" x14ac:dyDescent="0.25">
      <c r="A14" s="5" t="s">
        <v>645</v>
      </c>
      <c r="B14" s="6">
        <v>11272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3" sqref="B3"/>
    </sheetView>
  </sheetViews>
  <sheetFormatPr defaultRowHeight="13.8" x14ac:dyDescent="0.25"/>
  <cols>
    <col min="1" max="1" width="13.09765625" customWidth="1"/>
    <col min="2" max="2" width="24.796875" bestFit="1" customWidth="1"/>
    <col min="3" max="3" width="2.8984375" customWidth="1"/>
    <col min="4" max="4" width="2.8984375" bestFit="1" customWidth="1"/>
    <col min="5" max="9" width="2.8984375" customWidth="1"/>
    <col min="10" max="10" width="1.8984375" customWidth="1"/>
    <col min="11" max="43" width="2.8984375" customWidth="1"/>
    <col min="44" max="44" width="11" bestFit="1" customWidth="1"/>
  </cols>
  <sheetData>
    <row r="3" spans="1:2" x14ac:dyDescent="0.25">
      <c r="A3" s="4" t="s">
        <v>644</v>
      </c>
      <c r="B3" s="6" t="s">
        <v>647</v>
      </c>
    </row>
    <row r="4" spans="1:2" x14ac:dyDescent="0.25">
      <c r="A4" s="5">
        <v>40</v>
      </c>
      <c r="B4" s="6">
        <v>10606</v>
      </c>
    </row>
    <row r="5" spans="1:2" x14ac:dyDescent="0.25">
      <c r="A5" s="5">
        <v>36</v>
      </c>
      <c r="B5" s="6">
        <v>10238.571428571429</v>
      </c>
    </row>
    <row r="6" spans="1:2" x14ac:dyDescent="0.25">
      <c r="A6" s="5">
        <v>39</v>
      </c>
      <c r="B6" s="6">
        <v>10208</v>
      </c>
    </row>
    <row r="7" spans="1:2" x14ac:dyDescent="0.25">
      <c r="A7" s="5">
        <v>38</v>
      </c>
      <c r="B7" s="6">
        <v>9760</v>
      </c>
    </row>
    <row r="8" spans="1:2" x14ac:dyDescent="0.25">
      <c r="A8" s="5">
        <v>37</v>
      </c>
      <c r="B8" s="6">
        <v>9660</v>
      </c>
    </row>
    <row r="9" spans="1:2" x14ac:dyDescent="0.25">
      <c r="A9" s="5">
        <v>35</v>
      </c>
      <c r="B9" s="6">
        <v>9488.8888888888887</v>
      </c>
    </row>
    <row r="10" spans="1:2" x14ac:dyDescent="0.25">
      <c r="A10" s="5">
        <v>34</v>
      </c>
      <c r="B10" s="6">
        <v>9475</v>
      </c>
    </row>
    <row r="11" spans="1:2" x14ac:dyDescent="0.25">
      <c r="A11" s="5">
        <v>42</v>
      </c>
      <c r="B11" s="6">
        <v>9370</v>
      </c>
    </row>
    <row r="12" spans="1:2" x14ac:dyDescent="0.25">
      <c r="A12" s="5">
        <v>33</v>
      </c>
      <c r="B12" s="6">
        <v>9285.78947368421</v>
      </c>
    </row>
    <row r="13" spans="1:2" x14ac:dyDescent="0.25">
      <c r="A13" s="5">
        <v>31</v>
      </c>
      <c r="B13" s="6">
        <v>9258.75</v>
      </c>
    </row>
    <row r="14" spans="1:2" x14ac:dyDescent="0.25">
      <c r="A14" s="5" t="s">
        <v>645</v>
      </c>
      <c r="B14" s="6">
        <v>9621.375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F1" workbookViewId="0">
      <selection activeCell="B4" sqref="B4:B7"/>
    </sheetView>
  </sheetViews>
  <sheetFormatPr defaultRowHeight="13.8" x14ac:dyDescent="0.25"/>
  <cols>
    <col min="1" max="1" width="13.09765625" customWidth="1"/>
    <col min="2" max="2" width="24.796875" bestFit="1" customWidth="1"/>
  </cols>
  <sheetData>
    <row r="3" spans="1:2" x14ac:dyDescent="0.25">
      <c r="A3" s="4" t="s">
        <v>644</v>
      </c>
      <c r="B3" s="6" t="s">
        <v>647</v>
      </c>
    </row>
    <row r="4" spans="1:2" x14ac:dyDescent="0.25">
      <c r="A4" s="5" t="s">
        <v>642</v>
      </c>
      <c r="B4" s="6">
        <v>7676.8965517241377</v>
      </c>
    </row>
    <row r="5" spans="1:2" x14ac:dyDescent="0.25">
      <c r="A5" s="5" t="s">
        <v>640</v>
      </c>
      <c r="B5" s="6">
        <v>7631.4102564102568</v>
      </c>
    </row>
    <row r="6" spans="1:2" x14ac:dyDescent="0.25">
      <c r="A6" s="5" t="s">
        <v>639</v>
      </c>
      <c r="B6" s="6">
        <v>7467.339449541284</v>
      </c>
    </row>
    <row r="7" spans="1:2" x14ac:dyDescent="0.25">
      <c r="A7" s="5" t="s">
        <v>641</v>
      </c>
      <c r="B7" s="6">
        <v>7431.666666666667</v>
      </c>
    </row>
    <row r="8" spans="1:2" x14ac:dyDescent="0.25">
      <c r="A8" s="5" t="s">
        <v>645</v>
      </c>
      <c r="B8" s="6">
        <v>7538.6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23" sqref="A3:B23"/>
    </sheetView>
  </sheetViews>
  <sheetFormatPr defaultRowHeight="13.8" x14ac:dyDescent="0.25"/>
  <cols>
    <col min="1" max="1" width="17.5" customWidth="1"/>
    <col min="2" max="2" width="24.796875" customWidth="1"/>
    <col min="3" max="3" width="2.8984375" bestFit="1" customWidth="1"/>
    <col min="4" max="5" width="3.8984375" bestFit="1" customWidth="1"/>
    <col min="6" max="6" width="2.8984375" bestFit="1" customWidth="1"/>
    <col min="7" max="7" width="11" customWidth="1"/>
    <col min="8" max="8" width="11" bestFit="1" customWidth="1"/>
  </cols>
  <sheetData>
    <row r="3" spans="1:2" x14ac:dyDescent="0.25">
      <c r="A3" s="4" t="s">
        <v>644</v>
      </c>
      <c r="B3" s="6" t="s">
        <v>647</v>
      </c>
    </row>
    <row r="4" spans="1:2" x14ac:dyDescent="0.25">
      <c r="A4" s="5" t="s">
        <v>629</v>
      </c>
      <c r="B4" s="6">
        <v>9486.5517241379312</v>
      </c>
    </row>
    <row r="5" spans="1:2" x14ac:dyDescent="0.25">
      <c r="A5" s="5" t="s">
        <v>635</v>
      </c>
      <c r="B5" s="6">
        <v>8361.25</v>
      </c>
    </row>
    <row r="6" spans="1:2" x14ac:dyDescent="0.25">
      <c r="A6" s="5" t="s">
        <v>632</v>
      </c>
      <c r="B6" s="6">
        <v>8304.545454545454</v>
      </c>
    </row>
    <row r="7" spans="1:2" x14ac:dyDescent="0.25">
      <c r="A7" s="5" t="s">
        <v>623</v>
      </c>
      <c r="B7" s="6">
        <v>8271.3513513513517</v>
      </c>
    </row>
    <row r="8" spans="1:2" x14ac:dyDescent="0.25">
      <c r="A8" s="5" t="s">
        <v>633</v>
      </c>
      <c r="B8" s="6">
        <v>8131.9354838709678</v>
      </c>
    </row>
    <row r="9" spans="1:2" x14ac:dyDescent="0.25">
      <c r="A9" s="5" t="s">
        <v>621</v>
      </c>
      <c r="B9" s="6">
        <v>8093.478260869565</v>
      </c>
    </row>
    <row r="10" spans="1:2" x14ac:dyDescent="0.25">
      <c r="A10" s="5" t="s">
        <v>628</v>
      </c>
      <c r="B10" s="6">
        <v>7964.1935483870966</v>
      </c>
    </row>
    <row r="11" spans="1:2" x14ac:dyDescent="0.25">
      <c r="A11" s="5" t="s">
        <v>630</v>
      </c>
      <c r="B11" s="6">
        <v>7952.3076923076924</v>
      </c>
    </row>
    <row r="12" spans="1:2" x14ac:dyDescent="0.25">
      <c r="A12" s="5" t="s">
        <v>625</v>
      </c>
      <c r="B12" s="6">
        <v>7850</v>
      </c>
    </row>
    <row r="13" spans="1:2" x14ac:dyDescent="0.25">
      <c r="A13" s="5" t="s">
        <v>631</v>
      </c>
      <c r="B13" s="6">
        <v>7745.625</v>
      </c>
    </row>
    <row r="14" spans="1:2" x14ac:dyDescent="0.25">
      <c r="A14" s="5" t="s">
        <v>645</v>
      </c>
      <c r="B14" s="6">
        <v>8205.3666666666668</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2"/>
  <sheetViews>
    <sheetView workbookViewId="0">
      <selection activeCell="D9" sqref="D9"/>
    </sheetView>
  </sheetViews>
  <sheetFormatPr defaultRowHeight="13.8" x14ac:dyDescent="0.25"/>
  <cols>
    <col min="1" max="1" width="20.69921875" customWidth="1"/>
    <col min="2" max="2" width="16.09765625" customWidth="1"/>
    <col min="3" max="3" width="5" customWidth="1"/>
    <col min="4" max="4" width="11" customWidth="1"/>
    <col min="5" max="5" width="24.19921875" bestFit="1" customWidth="1"/>
    <col min="6" max="6" width="25.69921875" bestFit="1" customWidth="1"/>
  </cols>
  <sheetData>
    <row r="3" spans="1:4" x14ac:dyDescent="0.25">
      <c r="A3" s="4" t="s">
        <v>643</v>
      </c>
      <c r="B3" s="4" t="s">
        <v>646</v>
      </c>
    </row>
    <row r="4" spans="1:4" x14ac:dyDescent="0.25">
      <c r="A4" s="4" t="s">
        <v>644</v>
      </c>
      <c r="B4" t="s">
        <v>637</v>
      </c>
      <c r="C4" t="s">
        <v>638</v>
      </c>
      <c r="D4" t="s">
        <v>645</v>
      </c>
    </row>
    <row r="5" spans="1:4" x14ac:dyDescent="0.25">
      <c r="A5" s="5" t="s">
        <v>617</v>
      </c>
      <c r="B5" s="3">
        <v>52</v>
      </c>
      <c r="C5" s="3">
        <v>59</v>
      </c>
      <c r="D5" s="3">
        <v>111</v>
      </c>
    </row>
    <row r="6" spans="1:4" x14ac:dyDescent="0.25">
      <c r="A6" s="5" t="s">
        <v>613</v>
      </c>
      <c r="B6" s="3">
        <v>48</v>
      </c>
      <c r="C6" s="3">
        <v>61</v>
      </c>
      <c r="D6" s="3">
        <v>109</v>
      </c>
    </row>
    <row r="7" spans="1:4" x14ac:dyDescent="0.25">
      <c r="A7" s="5" t="s">
        <v>614</v>
      </c>
      <c r="B7" s="3">
        <v>53</v>
      </c>
      <c r="C7" s="3">
        <v>46</v>
      </c>
      <c r="D7" s="3">
        <v>99</v>
      </c>
    </row>
    <row r="8" spans="1:4" x14ac:dyDescent="0.25">
      <c r="A8" s="5" t="s">
        <v>615</v>
      </c>
      <c r="B8" s="3">
        <v>45</v>
      </c>
      <c r="C8" s="3">
        <v>53</v>
      </c>
      <c r="D8" s="3">
        <v>98</v>
      </c>
    </row>
    <row r="9" spans="1:4" x14ac:dyDescent="0.25">
      <c r="A9" s="5" t="s">
        <v>616</v>
      </c>
      <c r="B9" s="3">
        <v>45</v>
      </c>
      <c r="C9" s="3">
        <v>50</v>
      </c>
      <c r="D9" s="3">
        <v>95</v>
      </c>
    </row>
    <row r="10" spans="1:4" x14ac:dyDescent="0.25">
      <c r="A10" s="5" t="s">
        <v>612</v>
      </c>
      <c r="B10" s="3">
        <v>45</v>
      </c>
      <c r="C10" s="3">
        <v>43</v>
      </c>
      <c r="D10" s="3">
        <v>88</v>
      </c>
    </row>
    <row r="11" spans="1:4" x14ac:dyDescent="0.25">
      <c r="A11" s="5" t="s">
        <v>645</v>
      </c>
      <c r="B11" s="3">
        <v>288</v>
      </c>
      <c r="C11" s="3">
        <v>312</v>
      </c>
      <c r="D11" s="3">
        <v>600</v>
      </c>
    </row>
    <row r="16" spans="1:4" x14ac:dyDescent="0.25">
      <c r="A16" s="5"/>
      <c r="B16" s="3"/>
    </row>
    <row r="17" spans="1:2" x14ac:dyDescent="0.25">
      <c r="A17" s="5"/>
      <c r="B17" s="3"/>
    </row>
    <row r="18" spans="1:2" x14ac:dyDescent="0.25">
      <c r="A18" s="5"/>
      <c r="B18" s="3"/>
    </row>
    <row r="19" spans="1:2" x14ac:dyDescent="0.25">
      <c r="A19" s="5"/>
      <c r="B19" s="3"/>
    </row>
    <row r="20" spans="1:2" x14ac:dyDescent="0.25">
      <c r="A20" s="5"/>
      <c r="B20" s="3"/>
    </row>
    <row r="21" spans="1:2" x14ac:dyDescent="0.25">
      <c r="A21" s="5"/>
      <c r="B21" s="3"/>
    </row>
    <row r="22" spans="1:2" x14ac:dyDescent="0.25">
      <c r="A22" s="5"/>
      <c r="B22"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Dashbord2</vt:lpstr>
      <vt:lpstr>Dashboard</vt:lpstr>
      <vt:lpstr>CleanData</vt:lpstr>
      <vt:lpstr>Average Salary by Department</vt:lpstr>
      <vt:lpstr>Average Salary Top10 Employees</vt:lpstr>
      <vt:lpstr>Average Salary by Experience</vt:lpstr>
      <vt:lpstr>Average Salary by Education</vt:lpstr>
      <vt:lpstr>Average Salary by Job</vt:lpstr>
      <vt:lpstr>Gender by Department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awwad</dc:creator>
  <cp:lastModifiedBy>ahmed awwad</cp:lastModifiedBy>
  <dcterms:created xsi:type="dcterms:W3CDTF">2026-09-11T15:57:47Z</dcterms:created>
  <dcterms:modified xsi:type="dcterms:W3CDTF">2026-09-30T08:37:11Z</dcterms:modified>
</cp:coreProperties>
</file>